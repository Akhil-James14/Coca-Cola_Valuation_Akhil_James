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khil James\Downloads\"/>
    </mc:Choice>
  </mc:AlternateContent>
  <xr:revisionPtr revIDLastSave="0" documentId="8_{B224C653-802A-4164-9B7F-3B4D1AC2C0B0}" xr6:coauthVersionLast="47" xr6:coauthVersionMax="47" xr10:uidLastSave="{00000000-0000-0000-0000-000000000000}"/>
  <bookViews>
    <workbookView xWindow="-108" yWindow="-108" windowWidth="23256" windowHeight="12456" xr2:uid="{0F765AB6-EA68-49ED-9687-DD19D2381CD5}"/>
  </bookViews>
  <sheets>
    <sheet name="Financials&gt;" sheetId="12" r:id="rId1"/>
    <sheet name="Revenue" sheetId="1" r:id="rId2"/>
    <sheet name="P&amp;L" sheetId="2" r:id="rId3"/>
    <sheet name="Balance Sheet" sheetId="4" r:id="rId4"/>
    <sheet name="CFS" sheetId="6" r:id="rId5"/>
    <sheet name="Supporting Schedules&gt;" sheetId="13" r:id="rId6"/>
    <sheet name="CapEx" sheetId="3" r:id="rId7"/>
    <sheet name="Debt" sheetId="5" r:id="rId8"/>
    <sheet name="Cost of Capital&gt;" sheetId="11" r:id="rId9"/>
    <sheet name="Cost of Debt" sheetId="9" r:id="rId10"/>
    <sheet name="Cost of Equity" sheetId="8" r:id="rId11"/>
    <sheet name="DCF&gt;" sheetId="10" r:id="rId12"/>
    <sheet name="Valuation" sheetId="7" r:id="rId1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7" l="1"/>
  <c r="G41" i="4" l="1"/>
  <c r="H41" i="4" s="1"/>
  <c r="I41" i="4" s="1"/>
  <c r="J41" i="4" s="1"/>
  <c r="K41" i="4" s="1"/>
  <c r="L41" i="4" s="1"/>
  <c r="D24" i="7"/>
  <c r="D21" i="7"/>
  <c r="D20" i="7"/>
  <c r="E15" i="7" l="1"/>
  <c r="F15" i="7" s="1"/>
  <c r="G15" i="7" s="1"/>
  <c r="H15" i="7" s="1"/>
  <c r="C9" i="9" l="1"/>
  <c r="C18" i="9"/>
  <c r="C19" i="9" s="1"/>
  <c r="C17" i="9"/>
  <c r="C14" i="9"/>
  <c r="D29" i="8"/>
  <c r="C29" i="8"/>
  <c r="F22" i="8"/>
  <c r="F23" i="8"/>
  <c r="F24" i="8"/>
  <c r="F19" i="8"/>
  <c r="E29" i="8" s="1"/>
  <c r="R297" i="8"/>
  <c r="R296" i="8"/>
  <c r="R295" i="8"/>
  <c r="R294" i="8"/>
  <c r="R293" i="8"/>
  <c r="R292" i="8"/>
  <c r="R291" i="8"/>
  <c r="R290" i="8"/>
  <c r="R289" i="8"/>
  <c r="R288" i="8"/>
  <c r="R287" i="8"/>
  <c r="R286" i="8"/>
  <c r="R285" i="8"/>
  <c r="R284" i="8"/>
  <c r="R283" i="8"/>
  <c r="R282" i="8"/>
  <c r="R281" i="8"/>
  <c r="R280" i="8"/>
  <c r="R279" i="8"/>
  <c r="R278" i="8"/>
  <c r="R277" i="8"/>
  <c r="R276" i="8"/>
  <c r="R275" i="8"/>
  <c r="R274" i="8"/>
  <c r="R273" i="8"/>
  <c r="R272" i="8"/>
  <c r="R271" i="8"/>
  <c r="R270" i="8"/>
  <c r="R269" i="8"/>
  <c r="R268" i="8"/>
  <c r="R267" i="8"/>
  <c r="R266" i="8"/>
  <c r="R265" i="8"/>
  <c r="R264" i="8"/>
  <c r="R263" i="8"/>
  <c r="R262" i="8"/>
  <c r="R261" i="8"/>
  <c r="R260" i="8"/>
  <c r="R259" i="8"/>
  <c r="R258" i="8"/>
  <c r="R257" i="8"/>
  <c r="R256" i="8"/>
  <c r="R255" i="8"/>
  <c r="R254" i="8"/>
  <c r="R253" i="8"/>
  <c r="R252" i="8"/>
  <c r="R251" i="8"/>
  <c r="R250" i="8"/>
  <c r="R249" i="8"/>
  <c r="R248" i="8"/>
  <c r="R247" i="8"/>
  <c r="R246" i="8"/>
  <c r="R245" i="8"/>
  <c r="R244" i="8"/>
  <c r="R243" i="8"/>
  <c r="R242" i="8"/>
  <c r="R241" i="8"/>
  <c r="R240" i="8"/>
  <c r="R239" i="8"/>
  <c r="R238" i="8"/>
  <c r="R237"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49" i="8"/>
  <c r="R48" i="8"/>
  <c r="R47" i="8"/>
  <c r="R46" i="8"/>
  <c r="R45" i="8"/>
  <c r="R44" i="8"/>
  <c r="R43" i="8"/>
  <c r="R42" i="8"/>
  <c r="R41" i="8"/>
  <c r="R40" i="8"/>
  <c r="R39" i="8"/>
  <c r="R38" i="8"/>
  <c r="O297" i="8"/>
  <c r="O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L297" i="8"/>
  <c r="L296" i="8"/>
  <c r="L295" i="8"/>
  <c r="L294" i="8"/>
  <c r="L293" i="8"/>
  <c r="L29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I297" i="8"/>
  <c r="I296" i="8"/>
  <c r="I295" i="8"/>
  <c r="I294" i="8"/>
  <c r="I293" i="8"/>
  <c r="I292" i="8"/>
  <c r="I291" i="8"/>
  <c r="I290" i="8"/>
  <c r="I289" i="8"/>
  <c r="I288" i="8"/>
  <c r="I287" i="8"/>
  <c r="I286" i="8"/>
  <c r="I285" i="8"/>
  <c r="I284" i="8"/>
  <c r="I283" i="8"/>
  <c r="I282" i="8"/>
  <c r="I281" i="8"/>
  <c r="I280" i="8"/>
  <c r="I279" i="8"/>
  <c r="I278" i="8"/>
  <c r="I277" i="8"/>
  <c r="I276" i="8"/>
  <c r="I275" i="8"/>
  <c r="I274" i="8"/>
  <c r="I273" i="8"/>
  <c r="I272" i="8"/>
  <c r="I271" i="8"/>
  <c r="I270" i="8"/>
  <c r="I269" i="8"/>
  <c r="I268" i="8"/>
  <c r="I267" i="8"/>
  <c r="I266" i="8"/>
  <c r="I265" i="8"/>
  <c r="I264" i="8"/>
  <c r="I263" i="8"/>
  <c r="I262" i="8"/>
  <c r="I261" i="8"/>
  <c r="I260" i="8"/>
  <c r="I259" i="8"/>
  <c r="I258" i="8"/>
  <c r="I257" i="8"/>
  <c r="I256" i="8"/>
  <c r="I255" i="8"/>
  <c r="I254" i="8"/>
  <c r="I253" i="8"/>
  <c r="I252" i="8"/>
  <c r="I251" i="8"/>
  <c r="I250" i="8"/>
  <c r="I249" i="8"/>
  <c r="I248" i="8"/>
  <c r="I247" i="8"/>
  <c r="I246" i="8"/>
  <c r="I245" i="8"/>
  <c r="I244" i="8"/>
  <c r="I243" i="8"/>
  <c r="I242" i="8"/>
  <c r="I241" i="8"/>
  <c r="I240" i="8"/>
  <c r="I239" i="8"/>
  <c r="I238" i="8"/>
  <c r="I237" i="8"/>
  <c r="I236" i="8"/>
  <c r="I235" i="8"/>
  <c r="I234" i="8"/>
  <c r="I233" i="8"/>
  <c r="I232" i="8"/>
  <c r="I231" i="8"/>
  <c r="I230" i="8"/>
  <c r="I229" i="8"/>
  <c r="I228" i="8"/>
  <c r="I227" i="8"/>
  <c r="I226" i="8"/>
  <c r="I225" i="8"/>
  <c r="I224" i="8"/>
  <c r="I223" i="8"/>
  <c r="I222" i="8"/>
  <c r="I221" i="8"/>
  <c r="I220" i="8"/>
  <c r="I219" i="8"/>
  <c r="I218" i="8"/>
  <c r="I217" i="8"/>
  <c r="I216" i="8"/>
  <c r="I215" i="8"/>
  <c r="I214" i="8"/>
  <c r="I213" i="8"/>
  <c r="I212" i="8"/>
  <c r="I211" i="8"/>
  <c r="I210" i="8"/>
  <c r="I209" i="8"/>
  <c r="I208" i="8"/>
  <c r="I207" i="8"/>
  <c r="I206" i="8"/>
  <c r="I205" i="8"/>
  <c r="I204" i="8"/>
  <c r="I203" i="8"/>
  <c r="I202" i="8"/>
  <c r="I201" i="8"/>
  <c r="I200" i="8"/>
  <c r="I199" i="8"/>
  <c r="I198" i="8"/>
  <c r="I197" i="8"/>
  <c r="I196" i="8"/>
  <c r="I195" i="8"/>
  <c r="I194" i="8"/>
  <c r="I193" i="8"/>
  <c r="I192" i="8"/>
  <c r="I191" i="8"/>
  <c r="I190" i="8"/>
  <c r="I189" i="8"/>
  <c r="I188" i="8"/>
  <c r="I187" i="8"/>
  <c r="I186" i="8"/>
  <c r="I185" i="8"/>
  <c r="I184" i="8"/>
  <c r="I183" i="8"/>
  <c r="I182" i="8"/>
  <c r="I181" i="8"/>
  <c r="I180" i="8"/>
  <c r="I179" i="8"/>
  <c r="I178" i="8"/>
  <c r="I177" i="8"/>
  <c r="I176" i="8"/>
  <c r="I175" i="8"/>
  <c r="I174" i="8"/>
  <c r="I173" i="8"/>
  <c r="I172" i="8"/>
  <c r="I171" i="8"/>
  <c r="I170" i="8"/>
  <c r="I169" i="8"/>
  <c r="I168" i="8"/>
  <c r="I167" i="8"/>
  <c r="I166" i="8"/>
  <c r="I165" i="8"/>
  <c r="I164" i="8"/>
  <c r="I163" i="8"/>
  <c r="I162" i="8"/>
  <c r="I161" i="8"/>
  <c r="I160" i="8"/>
  <c r="I159" i="8"/>
  <c r="I158" i="8"/>
  <c r="I157" i="8"/>
  <c r="I156" i="8"/>
  <c r="I155" i="8"/>
  <c r="I154" i="8"/>
  <c r="I153" i="8"/>
  <c r="I152" i="8"/>
  <c r="I151" i="8"/>
  <c r="I150" i="8"/>
  <c r="I149" i="8"/>
  <c r="I148" i="8"/>
  <c r="I147" i="8"/>
  <c r="I146" i="8"/>
  <c r="I145" i="8"/>
  <c r="I144" i="8"/>
  <c r="I143" i="8"/>
  <c r="I142" i="8"/>
  <c r="I141" i="8"/>
  <c r="I140" i="8"/>
  <c r="I139" i="8"/>
  <c r="I138" i="8"/>
  <c r="I137" i="8"/>
  <c r="I136" i="8"/>
  <c r="I135" i="8"/>
  <c r="I134" i="8"/>
  <c r="I133" i="8"/>
  <c r="I132" i="8"/>
  <c r="I131" i="8"/>
  <c r="I130" i="8"/>
  <c r="I129" i="8"/>
  <c r="I128" i="8"/>
  <c r="I127" i="8"/>
  <c r="I126" i="8"/>
  <c r="I125" i="8"/>
  <c r="I124" i="8"/>
  <c r="I123" i="8"/>
  <c r="I122" i="8"/>
  <c r="I121" i="8"/>
  <c r="I120" i="8"/>
  <c r="I119" i="8"/>
  <c r="I118" i="8"/>
  <c r="I117" i="8"/>
  <c r="I116" i="8"/>
  <c r="I115" i="8"/>
  <c r="I114" i="8"/>
  <c r="I113" i="8"/>
  <c r="I112" i="8"/>
  <c r="I111" i="8"/>
  <c r="I110" i="8"/>
  <c r="I109" i="8"/>
  <c r="I108" i="8"/>
  <c r="I107" i="8"/>
  <c r="I106" i="8"/>
  <c r="I105" i="8"/>
  <c r="I104" i="8"/>
  <c r="I103" i="8"/>
  <c r="I102" i="8"/>
  <c r="I101" i="8"/>
  <c r="I100" i="8"/>
  <c r="I99" i="8"/>
  <c r="I98" i="8"/>
  <c r="I97" i="8"/>
  <c r="I96" i="8"/>
  <c r="I95" i="8"/>
  <c r="I94" i="8"/>
  <c r="I93" i="8"/>
  <c r="I92" i="8"/>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7" i="8"/>
  <c r="F166" i="8"/>
  <c r="F165" i="8"/>
  <c r="F164"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C10" i="8"/>
  <c r="C12" i="8" s="1"/>
  <c r="H59" i="4"/>
  <c r="I59" i="4" s="1"/>
  <c r="J59" i="4" s="1"/>
  <c r="K59" i="4" s="1"/>
  <c r="L59" i="4" s="1"/>
  <c r="C20" i="9" l="1"/>
  <c r="C21" i="9" s="1"/>
  <c r="C8" i="9" s="1"/>
  <c r="H36" i="8"/>
  <c r="C19" i="8" s="1"/>
  <c r="G19" i="8" s="1"/>
  <c r="N36" i="8"/>
  <c r="C23" i="8" s="1"/>
  <c r="G23" i="8" s="1"/>
  <c r="K36" i="8"/>
  <c r="C22" i="8" s="1"/>
  <c r="G22" i="8" s="1"/>
  <c r="Q36" i="8"/>
  <c r="C24" i="8" s="1"/>
  <c r="G24" i="8" s="1"/>
  <c r="E36" i="8"/>
  <c r="E5" i="7"/>
  <c r="F5" i="7" s="1"/>
  <c r="E3" i="7"/>
  <c r="F3" i="7" s="1"/>
  <c r="G3" i="7" s="1"/>
  <c r="H3" i="7" s="1"/>
  <c r="G25" i="8" l="1"/>
  <c r="B29" i="8" s="1"/>
  <c r="F29" i="8" s="1"/>
  <c r="C13" i="8" s="1"/>
  <c r="G5" i="7"/>
  <c r="H10" i="5"/>
  <c r="C14" i="8" l="1"/>
  <c r="D18" i="7" s="1"/>
  <c r="H5" i="7"/>
  <c r="H25" i="5"/>
  <c r="H7" i="4" l="1"/>
  <c r="H31" i="4" l="1"/>
  <c r="H15" i="4"/>
  <c r="H14" i="4"/>
  <c r="H9" i="4"/>
  <c r="H18" i="4"/>
  <c r="H17" i="4"/>
  <c r="G34" i="4"/>
  <c r="H45" i="1"/>
  <c r="I45" i="1"/>
  <c r="J45" i="1"/>
  <c r="K45" i="1"/>
  <c r="L45" i="1"/>
  <c r="D65" i="4"/>
  <c r="E65" i="4"/>
  <c r="F65" i="4"/>
  <c r="G65" i="4"/>
  <c r="H65" i="4" l="1"/>
  <c r="I65" i="4" s="1"/>
  <c r="J65" i="4" s="1"/>
  <c r="K65" i="4" s="1"/>
  <c r="L65" i="4" s="1"/>
  <c r="H26" i="4" l="1"/>
  <c r="I26" i="4"/>
  <c r="J26" i="4"/>
  <c r="K26" i="4"/>
  <c r="H14" i="3"/>
  <c r="I14" i="3"/>
  <c r="J14" i="3"/>
  <c r="K14" i="3"/>
  <c r="L26" i="4" l="1"/>
  <c r="H13" i="3"/>
  <c r="H15" i="3" s="1"/>
  <c r="I13" i="3" s="1"/>
  <c r="D41" i="6"/>
  <c r="H19" i="4" l="1"/>
  <c r="I15" i="3"/>
  <c r="J13" i="3" l="1"/>
  <c r="J15" i="3" s="1"/>
  <c r="I19" i="4"/>
  <c r="K13" i="3" l="1"/>
  <c r="K15" i="3" s="1"/>
  <c r="J19" i="4"/>
  <c r="L13" i="3" l="1"/>
  <c r="K19" i="4"/>
  <c r="E3" i="6" l="1"/>
  <c r="F3" i="6" s="1"/>
  <c r="G3" i="6" s="1"/>
  <c r="H3" i="6" s="1"/>
  <c r="E19" i="5"/>
  <c r="F19" i="5" s="1"/>
  <c r="G19" i="5" s="1"/>
  <c r="H19" i="5" s="1"/>
  <c r="D14" i="5" l="1"/>
  <c r="G10" i="5"/>
  <c r="F10" i="5"/>
  <c r="E10" i="5"/>
  <c r="D10" i="5"/>
  <c r="E23" i="5"/>
  <c r="F23" i="5" s="1"/>
  <c r="G23" i="5" s="1"/>
  <c r="H23" i="5" s="1"/>
  <c r="E3" i="5"/>
  <c r="F3" i="5" s="1"/>
  <c r="G3" i="5" s="1"/>
  <c r="H3" i="5" s="1"/>
  <c r="E61" i="4"/>
  <c r="F61" i="4"/>
  <c r="G61" i="4"/>
  <c r="D61" i="4"/>
  <c r="E58" i="4"/>
  <c r="F58" i="4"/>
  <c r="G58" i="4"/>
  <c r="D58" i="4"/>
  <c r="G54" i="4"/>
  <c r="F54" i="4"/>
  <c r="E54" i="4"/>
  <c r="D54" i="4"/>
  <c r="L51" i="4"/>
  <c r="E50" i="4"/>
  <c r="F50" i="4"/>
  <c r="G50" i="4"/>
  <c r="D50" i="4"/>
  <c r="L47" i="4"/>
  <c r="E46" i="4"/>
  <c r="F46" i="4"/>
  <c r="G46" i="4"/>
  <c r="D46" i="4"/>
  <c r="H6" i="3"/>
  <c r="L22" i="3"/>
  <c r="G20" i="3"/>
  <c r="H20" i="3" s="1"/>
  <c r="I20" i="3" s="1"/>
  <c r="J20" i="3" s="1"/>
  <c r="K20" i="3" s="1"/>
  <c r="D20" i="3"/>
  <c r="E10" i="3"/>
  <c r="F10" i="3"/>
  <c r="G10" i="3"/>
  <c r="D10" i="3"/>
  <c r="G6" i="3"/>
  <c r="G7" i="3" s="1"/>
  <c r="F6" i="3"/>
  <c r="F20" i="3" s="1"/>
  <c r="H30" i="4"/>
  <c r="I18" i="4"/>
  <c r="I17" i="4"/>
  <c r="I9" i="4"/>
  <c r="I7" i="4"/>
  <c r="D40" i="4"/>
  <c r="D19" i="4" s="1"/>
  <c r="E40" i="4"/>
  <c r="E19" i="4" s="1"/>
  <c r="E34" i="4"/>
  <c r="D34" i="4"/>
  <c r="F34" i="4"/>
  <c r="E28" i="4"/>
  <c r="D28" i="4"/>
  <c r="F28" i="4"/>
  <c r="G28" i="4"/>
  <c r="E8" i="4"/>
  <c r="E13" i="4" s="1"/>
  <c r="D8" i="4"/>
  <c r="D13" i="4" s="1"/>
  <c r="G8" i="4"/>
  <c r="G13" i="4" s="1"/>
  <c r="G20" i="4" s="1"/>
  <c r="F8" i="4"/>
  <c r="F13" i="4" s="1"/>
  <c r="F20" i="4" s="1"/>
  <c r="L14" i="3" l="1"/>
  <c r="L15" i="3" s="1"/>
  <c r="L19" i="4" s="1"/>
  <c r="J7" i="4"/>
  <c r="I14" i="4"/>
  <c r="G35" i="4"/>
  <c r="G37" i="4" s="1"/>
  <c r="I15" i="4"/>
  <c r="J17" i="4"/>
  <c r="J18" i="4"/>
  <c r="I30" i="4"/>
  <c r="J9" i="4"/>
  <c r="I31" i="4"/>
  <c r="F7" i="3"/>
  <c r="F35" i="4"/>
  <c r="F37" i="4" s="1"/>
  <c r="D35" i="4"/>
  <c r="E20" i="4"/>
  <c r="E37" i="4" s="1"/>
  <c r="L20" i="3"/>
  <c r="E35" i="4"/>
  <c r="D20" i="4"/>
  <c r="J30" i="4" l="1"/>
  <c r="K18" i="4"/>
  <c r="J31" i="4"/>
  <c r="K17" i="4"/>
  <c r="K7" i="4"/>
  <c r="J14" i="4"/>
  <c r="D37" i="4"/>
  <c r="K9" i="4"/>
  <c r="J15" i="4"/>
  <c r="K15" i="4" l="1"/>
  <c r="K14" i="4"/>
  <c r="K31" i="4"/>
  <c r="L18" i="4"/>
  <c r="L9" i="4"/>
  <c r="L7" i="4"/>
  <c r="L17" i="4"/>
  <c r="K30" i="4"/>
  <c r="L31" i="4" l="1"/>
  <c r="L14" i="4"/>
  <c r="L15" i="4"/>
  <c r="L30" i="4"/>
  <c r="E3" i="4" l="1"/>
  <c r="F3" i="4" s="1"/>
  <c r="G3" i="4" s="1"/>
  <c r="H3" i="4" s="1"/>
  <c r="I3" i="4" s="1"/>
  <c r="J3" i="4" s="1"/>
  <c r="K3" i="4" s="1"/>
  <c r="L3" i="4" s="1"/>
  <c r="E6" i="3"/>
  <c r="D7" i="3"/>
  <c r="E3" i="3"/>
  <c r="F3" i="3" s="1"/>
  <c r="G3" i="3" s="1"/>
  <c r="H3" i="3" s="1"/>
  <c r="I3" i="3" s="1"/>
  <c r="J3" i="3" s="1"/>
  <c r="K3" i="3" s="1"/>
  <c r="L3" i="3" s="1"/>
  <c r="H49" i="2"/>
  <c r="I49" i="2" s="1"/>
  <c r="J49" i="2" s="1"/>
  <c r="K49" i="2" s="1"/>
  <c r="L49" i="2" s="1"/>
  <c r="E20" i="3" l="1"/>
  <c r="E7" i="3"/>
  <c r="F65" i="2"/>
  <c r="E65" i="2"/>
  <c r="D65" i="2"/>
  <c r="F43" i="2"/>
  <c r="F62" i="4" s="1"/>
  <c r="E43" i="2"/>
  <c r="E62" i="4" s="1"/>
  <c r="D43" i="2"/>
  <c r="D62" i="4" s="1"/>
  <c r="G43" i="2"/>
  <c r="G62" i="4" s="1"/>
  <c r="F38" i="2"/>
  <c r="E38" i="2"/>
  <c r="D38" i="2"/>
  <c r="G38" i="2"/>
  <c r="F34" i="2"/>
  <c r="E34" i="2"/>
  <c r="D34" i="2"/>
  <c r="G34" i="2"/>
  <c r="F30" i="2"/>
  <c r="E30" i="2"/>
  <c r="D30" i="2"/>
  <c r="G30" i="2"/>
  <c r="G26" i="2"/>
  <c r="G66" i="2" s="1"/>
  <c r="F26" i="2"/>
  <c r="F66" i="2" s="1"/>
  <c r="E26" i="2"/>
  <c r="E66" i="2" s="1"/>
  <c r="H66" i="2" s="1"/>
  <c r="I66" i="2" s="1"/>
  <c r="J66" i="2" s="1"/>
  <c r="K66" i="2" s="1"/>
  <c r="L66" i="2" s="1"/>
  <c r="D26" i="2"/>
  <c r="F21" i="2"/>
  <c r="E21" i="2"/>
  <c r="D21" i="2"/>
  <c r="G21" i="2"/>
  <c r="H21" i="2" s="1"/>
  <c r="I21" i="2" s="1"/>
  <c r="J21" i="2" s="1"/>
  <c r="K21" i="2" s="1"/>
  <c r="L21" i="2" s="1"/>
  <c r="F17" i="2"/>
  <c r="E17" i="2"/>
  <c r="D17" i="2"/>
  <c r="G17" i="2"/>
  <c r="F12" i="2"/>
  <c r="E12" i="2"/>
  <c r="D12" i="2"/>
  <c r="G12" i="2"/>
  <c r="F8" i="2"/>
  <c r="G8" i="2"/>
  <c r="I6" i="2"/>
  <c r="I8" i="2" s="1"/>
  <c r="J6" i="2"/>
  <c r="J8" i="2" s="1"/>
  <c r="K6" i="2"/>
  <c r="K8" i="2" s="1"/>
  <c r="L6" i="2"/>
  <c r="L8" i="2" s="1"/>
  <c r="E6" i="2"/>
  <c r="E8" i="2" s="1"/>
  <c r="F6" i="2"/>
  <c r="G6" i="2"/>
  <c r="H6" i="2"/>
  <c r="H8" i="2" s="1"/>
  <c r="D6" i="2"/>
  <c r="D8" i="2" s="1"/>
  <c r="E56" i="2" l="1"/>
  <c r="E59" i="2"/>
  <c r="F56" i="2"/>
  <c r="F59" i="2"/>
  <c r="G59" i="4"/>
  <c r="G55" i="4"/>
  <c r="H55" i="4" s="1"/>
  <c r="I55" i="4" s="1"/>
  <c r="J55" i="4" s="1"/>
  <c r="K55" i="4" s="1"/>
  <c r="L55" i="4" s="1"/>
  <c r="G51" i="4"/>
  <c r="G52" i="4" s="1"/>
  <c r="H52" i="4" s="1"/>
  <c r="E21" i="3"/>
  <c r="E47" i="4"/>
  <c r="E48" i="4" s="1"/>
  <c r="G64" i="2"/>
  <c r="G21" i="3"/>
  <c r="H21" i="3" s="1"/>
  <c r="I21" i="3" s="1"/>
  <c r="J21" i="3" s="1"/>
  <c r="K21" i="3" s="1"/>
  <c r="K8" i="3" s="1"/>
  <c r="G47" i="4"/>
  <c r="F64" i="2"/>
  <c r="F21" i="3"/>
  <c r="F47" i="4"/>
  <c r="F48" i="4" s="1"/>
  <c r="D59" i="4"/>
  <c r="D51" i="4"/>
  <c r="D52" i="4" s="1"/>
  <c r="D55" i="4"/>
  <c r="E59" i="4"/>
  <c r="E55" i="4"/>
  <c r="E51" i="4"/>
  <c r="E52" i="4" s="1"/>
  <c r="F51" i="4"/>
  <c r="F52" i="4" s="1"/>
  <c r="F55" i="4"/>
  <c r="F59" i="4"/>
  <c r="G59" i="2"/>
  <c r="E64" i="2"/>
  <c r="D64" i="2"/>
  <c r="D21" i="3"/>
  <c r="D47" i="4"/>
  <c r="D48" i="4" s="1"/>
  <c r="D56" i="2"/>
  <c r="D59" i="2"/>
  <c r="H62" i="4"/>
  <c r="I62" i="4" s="1"/>
  <c r="J62" i="4" s="1"/>
  <c r="K62" i="4" s="1"/>
  <c r="L62" i="4" s="1"/>
  <c r="L46" i="4"/>
  <c r="L10" i="4" s="1"/>
  <c r="L8" i="3"/>
  <c r="L18" i="3" s="1"/>
  <c r="L19" i="3" s="1"/>
  <c r="H8" i="7" s="1"/>
  <c r="H38" i="2"/>
  <c r="D13" i="6" s="1"/>
  <c r="G56" i="2"/>
  <c r="E13" i="2"/>
  <c r="D13" i="2"/>
  <c r="F13" i="2"/>
  <c r="G13" i="2"/>
  <c r="G48" i="4" l="1"/>
  <c r="I8" i="3"/>
  <c r="J6" i="3" s="1"/>
  <c r="H59" i="2"/>
  <c r="H8" i="3"/>
  <c r="H7" i="3" s="1"/>
  <c r="H56" i="2"/>
  <c r="J8" i="3"/>
  <c r="K6" i="3" s="1"/>
  <c r="K7" i="3" s="1"/>
  <c r="I52" i="4"/>
  <c r="H51" i="4"/>
  <c r="D29" i="6"/>
  <c r="L6" i="3"/>
  <c r="L7" i="3" s="1"/>
  <c r="K18" i="3"/>
  <c r="K19" i="3" s="1"/>
  <c r="G8" i="7" s="1"/>
  <c r="H9" i="6"/>
  <c r="L63" i="2"/>
  <c r="L64" i="2" s="1"/>
  <c r="E22" i="2"/>
  <c r="E39" i="2" s="1"/>
  <c r="E55" i="2"/>
  <c r="D22" i="2"/>
  <c r="D39" i="2" s="1"/>
  <c r="D55" i="2"/>
  <c r="F22" i="2"/>
  <c r="F62" i="2" s="1"/>
  <c r="F64" i="4" s="1"/>
  <c r="F55" i="2"/>
  <c r="I38" i="2"/>
  <c r="G22" i="2"/>
  <c r="G39" i="2" s="1"/>
  <c r="G55" i="2"/>
  <c r="E4" i="2"/>
  <c r="F4" i="2" s="1"/>
  <c r="G4" i="2" s="1"/>
  <c r="H4" i="2" s="1"/>
  <c r="I4" i="2" s="1"/>
  <c r="J4" i="2" s="1"/>
  <c r="K4" i="2" s="1"/>
  <c r="L4" i="2" s="1"/>
  <c r="L42" i="1"/>
  <c r="K42" i="1"/>
  <c r="J42" i="1"/>
  <c r="I42" i="1"/>
  <c r="H42" i="1"/>
  <c r="I43" i="1"/>
  <c r="J43" i="1"/>
  <c r="K43" i="1"/>
  <c r="L43" i="1"/>
  <c r="H43" i="1"/>
  <c r="L40" i="1"/>
  <c r="K40" i="1"/>
  <c r="J40" i="1"/>
  <c r="I40" i="1"/>
  <c r="H40" i="1"/>
  <c r="H48" i="4" l="1"/>
  <c r="G25" i="6"/>
  <c r="G10" i="7"/>
  <c r="H25" i="6"/>
  <c r="H10" i="7"/>
  <c r="D25" i="6"/>
  <c r="D10" i="7"/>
  <c r="H18" i="3"/>
  <c r="H9" i="3" s="1"/>
  <c r="I6" i="3"/>
  <c r="I7" i="3" s="1"/>
  <c r="J7" i="3"/>
  <c r="J18" i="3"/>
  <c r="J19" i="3" s="1"/>
  <c r="F8" i="7" s="1"/>
  <c r="I56" i="2"/>
  <c r="I17" i="2" s="1"/>
  <c r="H17" i="2"/>
  <c r="F57" i="2"/>
  <c r="I18" i="3"/>
  <c r="I19" i="3" s="1"/>
  <c r="F39" i="2"/>
  <c r="F44" i="2" s="1"/>
  <c r="F46" i="2" s="1"/>
  <c r="G62" i="2"/>
  <c r="G64" i="4" s="1"/>
  <c r="H55" i="2"/>
  <c r="D57" i="2"/>
  <c r="D62" i="2"/>
  <c r="D64" i="4" s="1"/>
  <c r="E13" i="6"/>
  <c r="E29" i="6"/>
  <c r="I59" i="2"/>
  <c r="H34" i="2"/>
  <c r="J52" i="4"/>
  <c r="I51" i="4"/>
  <c r="J63" i="2"/>
  <c r="J64" i="2" s="1"/>
  <c r="F9" i="6"/>
  <c r="K63" i="2"/>
  <c r="K64" i="2" s="1"/>
  <c r="G9" i="6"/>
  <c r="H19" i="3"/>
  <c r="D8" i="7" s="1"/>
  <c r="E62" i="2"/>
  <c r="E64" i="4" s="1"/>
  <c r="J38" i="2"/>
  <c r="E57" i="2"/>
  <c r="G57" i="2"/>
  <c r="I55" i="2"/>
  <c r="H13" i="2"/>
  <c r="D44" i="2"/>
  <c r="D58" i="2"/>
  <c r="E44" i="2"/>
  <c r="E58" i="2"/>
  <c r="G44" i="2"/>
  <c r="G58" i="2"/>
  <c r="F8" i="1"/>
  <c r="F6" i="1"/>
  <c r="G6" i="1"/>
  <c r="G8" i="1" s="1"/>
  <c r="H8" i="1" s="1"/>
  <c r="E45" i="1"/>
  <c r="F45" i="1"/>
  <c r="G45" i="1"/>
  <c r="D45" i="1"/>
  <c r="E40" i="1"/>
  <c r="E43" i="1" s="1"/>
  <c r="F40" i="1"/>
  <c r="F43" i="1" s="1"/>
  <c r="G40" i="1"/>
  <c r="G43" i="1" s="1"/>
  <c r="D40" i="1"/>
  <c r="D43" i="1" s="1"/>
  <c r="G36" i="1"/>
  <c r="G38" i="1" s="1"/>
  <c r="F36" i="1"/>
  <c r="F38" i="1" s="1"/>
  <c r="E36" i="1"/>
  <c r="E38" i="1" s="1"/>
  <c r="G31" i="1"/>
  <c r="G33" i="1" s="1"/>
  <c r="F31" i="1"/>
  <c r="F33" i="1" s="1"/>
  <c r="E31" i="1"/>
  <c r="E33" i="1" s="1"/>
  <c r="G26" i="1"/>
  <c r="G28" i="1" s="1"/>
  <c r="H28" i="1" s="1"/>
  <c r="F26" i="1"/>
  <c r="F28" i="1" s="1"/>
  <c r="E26" i="1"/>
  <c r="E28" i="1" s="1"/>
  <c r="G21" i="1"/>
  <c r="G23" i="1" s="1"/>
  <c r="H23" i="1" s="1"/>
  <c r="F21" i="1"/>
  <c r="F23" i="1" s="1"/>
  <c r="E21" i="1"/>
  <c r="E23" i="1" s="1"/>
  <c r="G16" i="1"/>
  <c r="G18" i="1" s="1"/>
  <c r="H18" i="1" s="1"/>
  <c r="F16" i="1"/>
  <c r="F18" i="1" s="1"/>
  <c r="E16" i="1"/>
  <c r="E18" i="1" s="1"/>
  <c r="G11" i="1"/>
  <c r="G13" i="1" s="1"/>
  <c r="F11" i="1"/>
  <c r="F13" i="1" s="1"/>
  <c r="E11" i="1"/>
  <c r="E13" i="1" s="1"/>
  <c r="E6" i="1"/>
  <c r="E8" i="1" s="1"/>
  <c r="E3" i="1"/>
  <c r="F3" i="1" s="1"/>
  <c r="G3" i="1" s="1"/>
  <c r="H3" i="1" s="1"/>
  <c r="I3" i="1" s="1"/>
  <c r="J3" i="1" s="1"/>
  <c r="K3" i="1" s="1"/>
  <c r="L3" i="1" s="1"/>
  <c r="H64" i="4" l="1"/>
  <c r="I64" i="4" s="1"/>
  <c r="J64" i="4" s="1"/>
  <c r="K64" i="4" s="1"/>
  <c r="I48" i="4"/>
  <c r="H47" i="4"/>
  <c r="I63" i="2"/>
  <c r="I64" i="2" s="1"/>
  <c r="E8" i="7"/>
  <c r="F25" i="6"/>
  <c r="F10" i="7"/>
  <c r="E25" i="6"/>
  <c r="E10" i="7"/>
  <c r="E9" i="6"/>
  <c r="J56" i="2"/>
  <c r="J17" i="2" s="1"/>
  <c r="H57" i="2"/>
  <c r="I57" i="2" s="1"/>
  <c r="J57" i="2" s="1"/>
  <c r="K57" i="2" s="1"/>
  <c r="L57" i="2" s="1"/>
  <c r="F58" i="2"/>
  <c r="J59" i="2"/>
  <c r="I34" i="2"/>
  <c r="F13" i="6"/>
  <c r="F29" i="6"/>
  <c r="K38" i="2"/>
  <c r="D25" i="5"/>
  <c r="K52" i="4"/>
  <c r="K51" i="4" s="1"/>
  <c r="J51" i="4"/>
  <c r="D28" i="6"/>
  <c r="D12" i="6"/>
  <c r="I9" i="3"/>
  <c r="H10" i="3"/>
  <c r="H16" i="4" s="1"/>
  <c r="D9" i="6"/>
  <c r="H63" i="2"/>
  <c r="H64" i="2" s="1"/>
  <c r="E25" i="5"/>
  <c r="L38" i="2"/>
  <c r="H12" i="2"/>
  <c r="H50" i="4" s="1"/>
  <c r="H22" i="2"/>
  <c r="D4" i="7" s="1"/>
  <c r="D6" i="7" s="1"/>
  <c r="D7" i="7" s="1"/>
  <c r="K56" i="2"/>
  <c r="K17" i="2" s="1"/>
  <c r="J55" i="2"/>
  <c r="I13" i="2"/>
  <c r="H58" i="2"/>
  <c r="I58" i="2" s="1"/>
  <c r="J58" i="2" s="1"/>
  <c r="K58" i="2" s="1"/>
  <c r="L58" i="2" s="1"/>
  <c r="G46" i="2"/>
  <c r="G48" i="2" s="1"/>
  <c r="G60" i="2"/>
  <c r="G61" i="2"/>
  <c r="E46" i="2"/>
  <c r="E48" i="2" s="1"/>
  <c r="E52" i="2" s="1"/>
  <c r="E60" i="2"/>
  <c r="E61" i="2"/>
  <c r="D46" i="2"/>
  <c r="D48" i="2" s="1"/>
  <c r="D52" i="2" s="1"/>
  <c r="D60" i="2"/>
  <c r="D61" i="2"/>
  <c r="F48" i="2"/>
  <c r="F52" i="2" s="1"/>
  <c r="F60" i="2"/>
  <c r="F61" i="2"/>
  <c r="H20" i="1"/>
  <c r="I23" i="1"/>
  <c r="J23" i="1" s="1"/>
  <c r="K23" i="1" s="1"/>
  <c r="I18" i="1"/>
  <c r="J18" i="1" s="1"/>
  <c r="K18" i="1" s="1"/>
  <c r="H15" i="1"/>
  <c r="H25" i="1"/>
  <c r="I28" i="1"/>
  <c r="J28" i="1" s="1"/>
  <c r="K28" i="1" s="1"/>
  <c r="I8" i="1"/>
  <c r="J8" i="1" s="1"/>
  <c r="K8" i="1" s="1"/>
  <c r="H5" i="1"/>
  <c r="I5" i="1" s="1"/>
  <c r="J5" i="1" s="1"/>
  <c r="K5" i="1" s="1"/>
  <c r="L5" i="1" s="1"/>
  <c r="H33" i="1"/>
  <c r="H38" i="1"/>
  <c r="H46" i="4" l="1"/>
  <c r="J48" i="4"/>
  <c r="I47" i="4"/>
  <c r="I46" i="4" s="1"/>
  <c r="I10" i="4" s="1"/>
  <c r="H29" i="6"/>
  <c r="H13" i="6"/>
  <c r="E12" i="6"/>
  <c r="E28" i="6"/>
  <c r="G13" i="6"/>
  <c r="G29" i="6"/>
  <c r="J34" i="2"/>
  <c r="K59" i="2"/>
  <c r="H11" i="4"/>
  <c r="H54" i="4"/>
  <c r="H58" i="4"/>
  <c r="I10" i="3"/>
  <c r="I16" i="4" s="1"/>
  <c r="J9" i="3"/>
  <c r="F25" i="5"/>
  <c r="K55" i="2"/>
  <c r="J13" i="2"/>
  <c r="I22" i="2"/>
  <c r="E4" i="7" s="1"/>
  <c r="E6" i="7" s="1"/>
  <c r="E7" i="7" s="1"/>
  <c r="I12" i="2"/>
  <c r="L56" i="2"/>
  <c r="L17" i="2" s="1"/>
  <c r="H62" i="2"/>
  <c r="D9" i="5" s="1"/>
  <c r="H61" i="2"/>
  <c r="I61" i="2" s="1"/>
  <c r="J61" i="2" s="1"/>
  <c r="K61" i="2" s="1"/>
  <c r="L61" i="2" s="1"/>
  <c r="I25" i="1"/>
  <c r="J25" i="1" s="1"/>
  <c r="K25" i="1" s="1"/>
  <c r="L25" i="1" s="1"/>
  <c r="I20" i="1"/>
  <c r="J20" i="1" s="1"/>
  <c r="K20" i="1" s="1"/>
  <c r="L20" i="1" s="1"/>
  <c r="I38" i="1"/>
  <c r="H35" i="1"/>
  <c r="I15" i="1"/>
  <c r="J15" i="1" s="1"/>
  <c r="K15" i="1" s="1"/>
  <c r="L15" i="1" s="1"/>
  <c r="I33" i="1"/>
  <c r="H30" i="1"/>
  <c r="I30" i="1" s="1"/>
  <c r="J38" i="1"/>
  <c r="K38" i="1" s="1"/>
  <c r="L38" i="1" s="1"/>
  <c r="K48" i="4" l="1"/>
  <c r="K47" i="4" s="1"/>
  <c r="K46" i="4" s="1"/>
  <c r="K10" i="4" s="1"/>
  <c r="J47" i="4"/>
  <c r="J46" i="4" s="1"/>
  <c r="J10" i="4" s="1"/>
  <c r="F17" i="6" s="1"/>
  <c r="H24" i="4"/>
  <c r="H12" i="4"/>
  <c r="D19" i="6" s="1"/>
  <c r="H10" i="4"/>
  <c r="D17" i="6" s="1"/>
  <c r="L59" i="2"/>
  <c r="L34" i="2" s="1"/>
  <c r="K34" i="2"/>
  <c r="F28" i="6"/>
  <c r="F12" i="6"/>
  <c r="I50" i="4"/>
  <c r="I11" i="4" s="1"/>
  <c r="I58" i="4"/>
  <c r="I24" i="4" s="1"/>
  <c r="E20" i="6" s="1"/>
  <c r="I54" i="4"/>
  <c r="I12" i="4" s="1"/>
  <c r="D18" i="6"/>
  <c r="K9" i="3"/>
  <c r="J10" i="3"/>
  <c r="J16" i="4" s="1"/>
  <c r="D20" i="6"/>
  <c r="G25" i="5"/>
  <c r="E6" i="5"/>
  <c r="D7" i="5"/>
  <c r="D11" i="5"/>
  <c r="H29" i="4" s="1"/>
  <c r="D24" i="5"/>
  <c r="L55" i="2"/>
  <c r="L13" i="2" s="1"/>
  <c r="K13" i="2"/>
  <c r="I62" i="2"/>
  <c r="E9" i="5" s="1"/>
  <c r="F6" i="5" s="1"/>
  <c r="J12" i="2"/>
  <c r="J22" i="2"/>
  <c r="F4" i="7" s="1"/>
  <c r="F6" i="7" s="1"/>
  <c r="F7" i="7" s="1"/>
  <c r="K33" i="1"/>
  <c r="L33" i="1" s="1"/>
  <c r="J33" i="1"/>
  <c r="J30" i="1"/>
  <c r="I35" i="1"/>
  <c r="J35" i="1" s="1"/>
  <c r="K35" i="1" s="1"/>
  <c r="L35" i="1" s="1"/>
  <c r="G17" i="6" l="1"/>
  <c r="H17" i="6"/>
  <c r="E17" i="6"/>
  <c r="E18" i="6"/>
  <c r="G12" i="6"/>
  <c r="G28" i="6"/>
  <c r="H28" i="6"/>
  <c r="H12" i="6"/>
  <c r="E19" i="6"/>
  <c r="J50" i="4"/>
  <c r="J11" i="4" s="1"/>
  <c r="J58" i="4"/>
  <c r="J24" i="4" s="1"/>
  <c r="J54" i="4"/>
  <c r="J12" i="4" s="1"/>
  <c r="L9" i="3"/>
  <c r="L10" i="3" s="1"/>
  <c r="L16" i="4" s="1"/>
  <c r="K10" i="3"/>
  <c r="K16" i="4" s="1"/>
  <c r="E24" i="5"/>
  <c r="E11" i="5"/>
  <c r="I29" i="4" s="1"/>
  <c r="E7" i="5"/>
  <c r="L12" i="2"/>
  <c r="L22" i="2"/>
  <c r="H4" i="7" s="1"/>
  <c r="H6" i="7" s="1"/>
  <c r="H7" i="7" s="1"/>
  <c r="J62" i="2"/>
  <c r="F9" i="5" s="1"/>
  <c r="G6" i="5" s="1"/>
  <c r="K12" i="2"/>
  <c r="K22" i="2"/>
  <c r="G4" i="7" s="1"/>
  <c r="G6" i="7" s="1"/>
  <c r="G7" i="7" s="1"/>
  <c r="K30" i="1"/>
  <c r="L30" i="1" s="1"/>
  <c r="K50" i="4" l="1"/>
  <c r="K11" i="4" s="1"/>
  <c r="K54" i="4"/>
  <c r="K12" i="4" s="1"/>
  <c r="K58" i="4"/>
  <c r="K24" i="4" s="1"/>
  <c r="F19" i="6"/>
  <c r="F20" i="6"/>
  <c r="L50" i="4"/>
  <c r="L11" i="4" s="1"/>
  <c r="L54" i="4"/>
  <c r="L12" i="4" s="1"/>
  <c r="L58" i="4"/>
  <c r="L24" i="4" s="1"/>
  <c r="F18" i="6"/>
  <c r="F24" i="5"/>
  <c r="F7" i="5"/>
  <c r="F11" i="5"/>
  <c r="J29" i="4" s="1"/>
  <c r="K62" i="2"/>
  <c r="G9" i="5" s="1"/>
  <c r="H6" i="5" s="1"/>
  <c r="L62" i="2"/>
  <c r="H9" i="5" s="1"/>
  <c r="H13" i="1"/>
  <c r="H18" i="6" l="1"/>
  <c r="G20" i="6"/>
  <c r="H20" i="6"/>
  <c r="G19" i="6"/>
  <c r="H19" i="6"/>
  <c r="G18" i="6"/>
  <c r="G7" i="5"/>
  <c r="H24" i="5"/>
  <c r="G11" i="5"/>
  <c r="K29" i="4" s="1"/>
  <c r="G24" i="5"/>
  <c r="H11" i="5"/>
  <c r="L29" i="4" s="1"/>
  <c r="I13" i="1"/>
  <c r="J13" i="1" s="1"/>
  <c r="K13" i="1" s="1"/>
  <c r="H10" i="1"/>
  <c r="I10" i="1" s="1"/>
  <c r="H7" i="5" l="1"/>
  <c r="J10" i="1"/>
  <c r="K10" i="1" s="1"/>
  <c r="L10" i="1" s="1"/>
  <c r="G52" i="2" l="1"/>
  <c r="H52" i="2" s="1"/>
  <c r="I52" i="2" s="1"/>
  <c r="J52" i="2" s="1"/>
  <c r="K52" i="2" s="1"/>
  <c r="G65" i="2"/>
  <c r="E21" i="5" l="1"/>
  <c r="E17" i="5" s="1"/>
  <c r="H21" i="5"/>
  <c r="H17" i="5" s="1"/>
  <c r="L25" i="4" s="1"/>
  <c r="F21" i="5"/>
  <c r="F17" i="5" s="1"/>
  <c r="G14" i="5" s="1"/>
  <c r="G21" i="5"/>
  <c r="G17" i="5" s="1"/>
  <c r="D21" i="5"/>
  <c r="D17" i="5" s="1"/>
  <c r="D16" i="5" s="1"/>
  <c r="G16" i="5" l="1"/>
  <c r="G34" i="6" s="1"/>
  <c r="J25" i="4"/>
  <c r="F14" i="5"/>
  <c r="F16" i="5" s="1"/>
  <c r="I25" i="4"/>
  <c r="E14" i="5"/>
  <c r="E16" i="5" s="1"/>
  <c r="D34" i="6"/>
  <c r="H25" i="4"/>
  <c r="D15" i="5"/>
  <c r="D20" i="5"/>
  <c r="H30" i="2" s="1"/>
  <c r="G20" i="5"/>
  <c r="K30" i="2" s="1"/>
  <c r="H14" i="5"/>
  <c r="H16" i="5" s="1"/>
  <c r="H34" i="6" s="1"/>
  <c r="K25" i="4"/>
  <c r="G15" i="5"/>
  <c r="G33" i="6" s="1"/>
  <c r="D11" i="6" l="1"/>
  <c r="D35" i="6" s="1"/>
  <c r="E34" i="6"/>
  <c r="E20" i="5"/>
  <c r="I30" i="2" s="1"/>
  <c r="D33" i="6"/>
  <c r="H20" i="5"/>
  <c r="L30" i="2" s="1"/>
  <c r="H15" i="5"/>
  <c r="H33" i="6" s="1"/>
  <c r="F34" i="6"/>
  <c r="F20" i="5"/>
  <c r="J30" i="2" s="1"/>
  <c r="F15" i="5"/>
  <c r="F33" i="6" s="1"/>
  <c r="G11" i="6"/>
  <c r="G35" i="6" s="1"/>
  <c r="E15" i="5"/>
  <c r="E33" i="6" s="1"/>
  <c r="H11" i="6" l="1"/>
  <c r="H35" i="6" s="1"/>
  <c r="E11" i="6"/>
  <c r="E35" i="6" s="1"/>
  <c r="F11" i="6"/>
  <c r="F35" i="6" s="1"/>
  <c r="H6" i="4" l="1"/>
  <c r="I6" i="4"/>
  <c r="J6" i="4"/>
  <c r="K6" i="4"/>
  <c r="L6" i="4"/>
  <c r="H8" i="4"/>
  <c r="I8" i="4"/>
  <c r="J8" i="4"/>
  <c r="K8" i="4"/>
  <c r="L8" i="4"/>
  <c r="H13" i="4"/>
  <c r="I13" i="4"/>
  <c r="J13" i="4"/>
  <c r="K13" i="4"/>
  <c r="L13" i="4"/>
  <c r="H20" i="4"/>
  <c r="I20" i="4"/>
  <c r="J20" i="4"/>
  <c r="K20" i="4"/>
  <c r="L20" i="4"/>
  <c r="H27" i="4"/>
  <c r="I27" i="4"/>
  <c r="J27" i="4"/>
  <c r="K27" i="4"/>
  <c r="L27" i="4"/>
  <c r="H28" i="4"/>
  <c r="I28" i="4"/>
  <c r="J28" i="4"/>
  <c r="K28" i="4"/>
  <c r="L28" i="4"/>
  <c r="H32" i="4"/>
  <c r="I32" i="4"/>
  <c r="J32" i="4"/>
  <c r="K32" i="4"/>
  <c r="L32" i="4"/>
  <c r="H33" i="4"/>
  <c r="I33" i="4"/>
  <c r="J33" i="4"/>
  <c r="K33" i="4"/>
  <c r="L33" i="4"/>
  <c r="H34" i="4"/>
  <c r="I34" i="4"/>
  <c r="J34" i="4"/>
  <c r="K34" i="4"/>
  <c r="L34" i="4"/>
  <c r="H35" i="4"/>
  <c r="I35" i="4"/>
  <c r="J35" i="4"/>
  <c r="K35" i="4"/>
  <c r="L35" i="4"/>
  <c r="H37" i="4"/>
  <c r="I37" i="4"/>
  <c r="J37" i="4"/>
  <c r="K37" i="4"/>
  <c r="L37" i="4"/>
  <c r="H61" i="4"/>
  <c r="I61" i="4"/>
  <c r="J61" i="4"/>
  <c r="K61" i="4"/>
  <c r="L61" i="4"/>
  <c r="D6" i="6"/>
  <c r="E6" i="6"/>
  <c r="F6" i="6"/>
  <c r="G6" i="6"/>
  <c r="H6" i="6"/>
  <c r="D10" i="6"/>
  <c r="E10" i="6"/>
  <c r="F10" i="6"/>
  <c r="G10" i="6"/>
  <c r="H10" i="6"/>
  <c r="D14" i="6"/>
  <c r="E14" i="6"/>
  <c r="F14" i="6"/>
  <c r="G14" i="6"/>
  <c r="H14" i="6"/>
  <c r="D21" i="6"/>
  <c r="E21" i="6"/>
  <c r="F21" i="6"/>
  <c r="G21" i="6"/>
  <c r="H21" i="6"/>
  <c r="D22" i="6"/>
  <c r="E22" i="6"/>
  <c r="F22" i="6"/>
  <c r="G22" i="6"/>
  <c r="H22" i="6"/>
  <c r="D27" i="6"/>
  <c r="E27" i="6"/>
  <c r="F27" i="6"/>
  <c r="G27" i="6"/>
  <c r="H27" i="6"/>
  <c r="D30" i="6"/>
  <c r="E30" i="6"/>
  <c r="F30" i="6"/>
  <c r="G30" i="6"/>
  <c r="H30" i="6"/>
  <c r="D36" i="6"/>
  <c r="E36" i="6"/>
  <c r="F36" i="6"/>
  <c r="G36" i="6"/>
  <c r="H36" i="6"/>
  <c r="D37" i="6"/>
  <c r="E37" i="6"/>
  <c r="F37" i="6"/>
  <c r="G37" i="6"/>
  <c r="H37" i="6"/>
  <c r="D39" i="6"/>
  <c r="E39" i="6"/>
  <c r="F39" i="6"/>
  <c r="G39" i="6"/>
  <c r="H39" i="6"/>
  <c r="E41" i="6"/>
  <c r="F41" i="6"/>
  <c r="G41" i="6"/>
  <c r="H41" i="6"/>
  <c r="D42" i="6"/>
  <c r="E42" i="6"/>
  <c r="F42" i="6"/>
  <c r="G42" i="6"/>
  <c r="H42" i="6"/>
  <c r="H26" i="2"/>
  <c r="I26" i="2"/>
  <c r="J26" i="2"/>
  <c r="K26" i="2"/>
  <c r="L26" i="2"/>
  <c r="H39" i="2"/>
  <c r="I39" i="2"/>
  <c r="J39" i="2"/>
  <c r="K39" i="2"/>
  <c r="L39" i="2"/>
  <c r="H43" i="2"/>
  <c r="I43" i="2"/>
  <c r="J43" i="2"/>
  <c r="K43" i="2"/>
  <c r="L43" i="2"/>
  <c r="H44" i="2"/>
  <c r="I44" i="2"/>
  <c r="J44" i="2"/>
  <c r="K44" i="2"/>
  <c r="L44" i="2"/>
  <c r="H45" i="2"/>
  <c r="I45" i="2"/>
  <c r="J45" i="2"/>
  <c r="K45" i="2"/>
  <c r="L45" i="2"/>
  <c r="H46" i="2"/>
  <c r="I46" i="2"/>
  <c r="J46" i="2"/>
  <c r="K46" i="2"/>
  <c r="L46" i="2"/>
  <c r="H48" i="2"/>
  <c r="I48" i="2"/>
  <c r="J48" i="2"/>
  <c r="K48" i="2"/>
  <c r="L48" i="2"/>
  <c r="H51" i="2"/>
  <c r="I51" i="2"/>
  <c r="J51" i="2"/>
  <c r="K51" i="2"/>
  <c r="L51" i="2"/>
  <c r="H60" i="2"/>
  <c r="I60" i="2"/>
  <c r="J60" i="2"/>
  <c r="K60" i="2"/>
  <c r="L60" i="2"/>
  <c r="H65" i="2"/>
  <c r="I65" i="2"/>
  <c r="J65" i="2"/>
  <c r="K65" i="2"/>
  <c r="L65" i="2"/>
  <c r="D9" i="7"/>
  <c r="E9" i="7"/>
  <c r="F9" i="7"/>
  <c r="G9" i="7"/>
  <c r="H9" i="7"/>
  <c r="D11" i="7"/>
  <c r="E11" i="7"/>
  <c r="F11" i="7"/>
  <c r="G11" i="7"/>
  <c r="H11" i="7"/>
  <c r="H13" i="7"/>
  <c r="D14" i="7"/>
  <c r="E14" i="7"/>
  <c r="F14" i="7"/>
  <c r="G14" i="7"/>
  <c r="H14" i="7"/>
  <c r="D16" i="7"/>
  <c r="E16" i="7"/>
  <c r="F16" i="7"/>
  <c r="G16" i="7"/>
  <c r="H16" i="7"/>
  <c r="D19" i="7"/>
  <c r="I19" i="7"/>
  <c r="D23" i="7"/>
  <c r="D25" i="7"/>
</calcChain>
</file>

<file path=xl/sharedStrings.xml><?xml version="1.0" encoding="utf-8"?>
<sst xmlns="http://schemas.openxmlformats.org/spreadsheetml/2006/main" count="528" uniqueCount="413">
  <si>
    <t>Particulars</t>
  </si>
  <si>
    <t>Unit</t>
  </si>
  <si>
    <t>Historical</t>
  </si>
  <si>
    <t>Forecast</t>
  </si>
  <si>
    <t>Growth Rate %</t>
  </si>
  <si>
    <t>Add/Less: Inorganic growth</t>
  </si>
  <si>
    <t>Organic Growth %</t>
  </si>
  <si>
    <t>#</t>
  </si>
  <si>
    <t>Latin America</t>
  </si>
  <si>
    <t>North America</t>
  </si>
  <si>
    <t>Asia Pacific</t>
  </si>
  <si>
    <t>Global Ventures</t>
  </si>
  <si>
    <t>Bottling Investments</t>
  </si>
  <si>
    <t>Corporate</t>
  </si>
  <si>
    <t>Eliminations</t>
  </si>
  <si>
    <t>Total Revenue before Eliminations</t>
  </si>
  <si>
    <t>Europe, Middle East &amp; Africa</t>
  </si>
  <si>
    <t>Total Consolidated Revenue</t>
  </si>
  <si>
    <t>Eliminations as a % of Revenue before Eliminations</t>
  </si>
  <si>
    <t xml:space="preserve">Net Operating Revenues </t>
  </si>
  <si>
    <t>Add/Less: Extraordinary Items</t>
  </si>
  <si>
    <t>Normalised Revenue</t>
  </si>
  <si>
    <t>COGS</t>
  </si>
  <si>
    <t>Normalised COGS</t>
  </si>
  <si>
    <t>Normalised Gross Profit</t>
  </si>
  <si>
    <t>SG&amp;A</t>
  </si>
  <si>
    <t>Other OpEx</t>
  </si>
  <si>
    <t>Normalised SG&amp;A</t>
  </si>
  <si>
    <t>Normalised OpEx</t>
  </si>
  <si>
    <t>Normalised EBIT</t>
  </si>
  <si>
    <t xml:space="preserve">Interest income </t>
  </si>
  <si>
    <t xml:space="preserve">Interest expense </t>
  </si>
  <si>
    <t xml:space="preserve">Equity income (loss) — net </t>
  </si>
  <si>
    <t xml:space="preserve">Other income (loss) — net </t>
  </si>
  <si>
    <t xml:space="preserve">Normalised Interest income </t>
  </si>
  <si>
    <t xml:space="preserve">Normalised Interest expense </t>
  </si>
  <si>
    <t xml:space="preserve">Normalised Equity income (loss) — net </t>
  </si>
  <si>
    <t xml:space="preserve">Normalised Other income (loss) — net </t>
  </si>
  <si>
    <t>Normalised PBT</t>
  </si>
  <si>
    <t>Income Taxes</t>
  </si>
  <si>
    <t>Normalised Income Taxes</t>
  </si>
  <si>
    <t>Consolidated Net Income</t>
  </si>
  <si>
    <t xml:space="preserve">Less: Net income (loss) attributable to noncontrolling interests </t>
  </si>
  <si>
    <t xml:space="preserve">Net Income Attributable to Shareowners of The Coca-Cola Company </t>
  </si>
  <si>
    <t xml:space="preserve">Average Shares Outstanding — Diluted </t>
  </si>
  <si>
    <t>Diluted EPS</t>
  </si>
  <si>
    <t>Dividend Per Share</t>
  </si>
  <si>
    <t>Workings</t>
  </si>
  <si>
    <t>GP margin %</t>
  </si>
  <si>
    <t>SG&amp;A as % of sales</t>
  </si>
  <si>
    <t>EBIT margin %</t>
  </si>
  <si>
    <t>Effective tax rate %</t>
  </si>
  <si>
    <t>Equity Income as % of sales</t>
  </si>
  <si>
    <t>Net profit margin</t>
  </si>
  <si>
    <t>Noncontrolling interests as % of Conso. Net income</t>
  </si>
  <si>
    <t>Normalised EBITDA</t>
  </si>
  <si>
    <t>Depreciation and amortization</t>
  </si>
  <si>
    <t>EBITDA margin</t>
  </si>
  <si>
    <t>Dividend</t>
  </si>
  <si>
    <t>Yield on cash</t>
  </si>
  <si>
    <t>Opening Gross Block</t>
  </si>
  <si>
    <t>Closing Gross Block</t>
  </si>
  <si>
    <t>Less: Accumulated Depreciation</t>
  </si>
  <si>
    <t>Add: Net Purchases/Sale</t>
  </si>
  <si>
    <t>Net Block</t>
  </si>
  <si>
    <t>Depreciation</t>
  </si>
  <si>
    <t>Depreciation &amp; Amortization</t>
  </si>
  <si>
    <t>Rate of Depreciation</t>
  </si>
  <si>
    <t>Fixed Asset Turnover Ratio</t>
  </si>
  <si>
    <t>Assets</t>
  </si>
  <si>
    <t>Current Assets</t>
  </si>
  <si>
    <t>Cash and cash equivalents</t>
  </si>
  <si>
    <t xml:space="preserve">Short-term investments </t>
  </si>
  <si>
    <t xml:space="preserve">Total Cash, Cash Equivalents and Short-Term Investments </t>
  </si>
  <si>
    <t xml:space="preserve">Marketable securities </t>
  </si>
  <si>
    <t xml:space="preserve">Inventories </t>
  </si>
  <si>
    <t xml:space="preserve">Prepaid expenses and other current assets </t>
  </si>
  <si>
    <t xml:space="preserve">Total Current Assets </t>
  </si>
  <si>
    <t xml:space="preserve">Equity method investments </t>
  </si>
  <si>
    <t xml:space="preserve">Deferred income tax assets </t>
  </si>
  <si>
    <t xml:space="preserve">Property, plant and equipment — net </t>
  </si>
  <si>
    <t xml:space="preserve">Trademarks with indefinite lives </t>
  </si>
  <si>
    <t xml:space="preserve">Goodwill </t>
  </si>
  <si>
    <t xml:space="preserve">Other noncurrent assets </t>
  </si>
  <si>
    <t xml:space="preserve">Total Assets </t>
  </si>
  <si>
    <t>Liabilities and Equity</t>
  </si>
  <si>
    <t xml:space="preserve">Current Liabilities </t>
  </si>
  <si>
    <t>Accounts payable and accrued expenses</t>
  </si>
  <si>
    <t xml:space="preserve">Loans and notes payable </t>
  </si>
  <si>
    <t xml:space="preserve">Current maturities of long-term debt </t>
  </si>
  <si>
    <t xml:space="preserve">Accrued income taxes </t>
  </si>
  <si>
    <t xml:space="preserve">Total Current Liabilities </t>
  </si>
  <si>
    <t xml:space="preserve">Long-term debt </t>
  </si>
  <si>
    <t xml:space="preserve">Other noncurrent liabilities </t>
  </si>
  <si>
    <t xml:space="preserve">Deferred income tax liabilities </t>
  </si>
  <si>
    <t xml:space="preserve">Equity Attributable to Shareowners of The Coca-Cola Company </t>
  </si>
  <si>
    <t xml:space="preserve">Equity attributable to noncontrolling interests </t>
  </si>
  <si>
    <t xml:space="preserve">Total Equity </t>
  </si>
  <si>
    <t xml:space="preserve">Total Liabilities and Equity </t>
  </si>
  <si>
    <t>Other Non-Current Assets</t>
  </si>
  <si>
    <t xml:space="preserve">Other investments </t>
  </si>
  <si>
    <t xml:space="preserve">Other intangible assets </t>
  </si>
  <si>
    <t>Trade accounts receivable</t>
  </si>
  <si>
    <t xml:space="preserve">Workings - </t>
  </si>
  <si>
    <t>Current assets</t>
  </si>
  <si>
    <t>Receivable turnover ratio</t>
  </si>
  <si>
    <t>Receivable days</t>
  </si>
  <si>
    <t>Inventories</t>
  </si>
  <si>
    <t>Inventory turnover ratio</t>
  </si>
  <si>
    <t>Inventory days</t>
  </si>
  <si>
    <t>Prepaid expenses and other current assets</t>
  </si>
  <si>
    <t>Prepaid expenses and other current assets as % of (COGS &amp; SG&amp;A)</t>
  </si>
  <si>
    <t>Current Liabilities</t>
  </si>
  <si>
    <t>Accounts payable and accrued expenses as % of COGS</t>
  </si>
  <si>
    <t>Accrued income taxes</t>
  </si>
  <si>
    <t>Accrued income taxes as % of Income tax</t>
  </si>
  <si>
    <t>Difference</t>
  </si>
  <si>
    <t>Opening Balance</t>
  </si>
  <si>
    <t>Closing Balance</t>
  </si>
  <si>
    <t>Average Interest Rate</t>
  </si>
  <si>
    <t>Interest Expenses</t>
  </si>
  <si>
    <t>Less: Loan repaid</t>
  </si>
  <si>
    <t>Add: Loan taken</t>
  </si>
  <si>
    <t>Total Long Term Debt / EBITDA</t>
  </si>
  <si>
    <t>Total Debt</t>
  </si>
  <si>
    <t xml:space="preserve">Less: Current Maturities </t>
  </si>
  <si>
    <t>Loans and Notes Payables as a % of Long Term Debt</t>
  </si>
  <si>
    <t>Depreciation and Amortization</t>
  </si>
  <si>
    <t>Interest Income</t>
  </si>
  <si>
    <t>Interest Expense</t>
  </si>
  <si>
    <t>Equity Income</t>
  </si>
  <si>
    <t>Other Income</t>
  </si>
  <si>
    <t>Cash Flow from Operations before Working Capital Changes</t>
  </si>
  <si>
    <t>Cash Generated from Operations</t>
  </si>
  <si>
    <t>Net Purchase/Sale of PPE</t>
  </si>
  <si>
    <t>Purchase of Intangibles</t>
  </si>
  <si>
    <t>Cash Generated from Investing</t>
  </si>
  <si>
    <t>Cash Flow from Financing</t>
  </si>
  <si>
    <t>Debt Raised</t>
  </si>
  <si>
    <t>Debt Repaid</t>
  </si>
  <si>
    <t>Cash Generated from Financing</t>
  </si>
  <si>
    <t>Total Cash Generated during the Year</t>
  </si>
  <si>
    <t>Add: Opening Balance of Cash and Cash Equivalents</t>
  </si>
  <si>
    <t>Add/Less: Non Cash/Non Operating items -</t>
  </si>
  <si>
    <t>Changes in Working Capital -</t>
  </si>
  <si>
    <t xml:space="preserve">Accrued Income Taxes             </t>
  </si>
  <si>
    <t>Less: Amortization</t>
  </si>
  <si>
    <t>Cash Flow from Operations -</t>
  </si>
  <si>
    <t>Cash from Investing -</t>
  </si>
  <si>
    <t>Other Non-Current Assets -</t>
  </si>
  <si>
    <t>Propert, Plant and Equipment -</t>
  </si>
  <si>
    <t>$</t>
  </si>
  <si>
    <t>Long Term Debt -</t>
  </si>
  <si>
    <t>Loans and Notes Payable -</t>
  </si>
  <si>
    <t>EBIT</t>
  </si>
  <si>
    <t>Less: Incomes Taxes</t>
  </si>
  <si>
    <t>NOPAT</t>
  </si>
  <si>
    <t>Add: D&amp;A</t>
  </si>
  <si>
    <t>Changes in WC</t>
  </si>
  <si>
    <t>Less: CapEx</t>
  </si>
  <si>
    <t>FCFF</t>
  </si>
  <si>
    <t>Terminal Value</t>
  </si>
  <si>
    <t>Total Cash Flow</t>
  </si>
  <si>
    <t>PV of Cashflows</t>
  </si>
  <si>
    <t>Date</t>
  </si>
  <si>
    <t>Year</t>
  </si>
  <si>
    <t>Index Value</t>
  </si>
  <si>
    <t>Total Years</t>
  </si>
  <si>
    <t>CAGR</t>
  </si>
  <si>
    <t>Coca Cola</t>
  </si>
  <si>
    <t>Price</t>
  </si>
  <si>
    <t>Returns</t>
  </si>
  <si>
    <t>KEURIG DR PEPPER INC</t>
  </si>
  <si>
    <t>PepsiCo, Inc.</t>
  </si>
  <si>
    <t>Monster Beverage Corporation</t>
  </si>
  <si>
    <t>S&amp;P 500</t>
  </si>
  <si>
    <t>07/13/2025</t>
  </si>
  <si>
    <t>06/29/2025</t>
  </si>
  <si>
    <t>06/22/2025</t>
  </si>
  <si>
    <t>06/15/2025</t>
  </si>
  <si>
    <t>05/25/2025</t>
  </si>
  <si>
    <t>05/18/2025</t>
  </si>
  <si>
    <t>04/27/2025</t>
  </si>
  <si>
    <t>04/20/2025</t>
  </si>
  <si>
    <t>04/13/2025</t>
  </si>
  <si>
    <t>03/30/2025</t>
  </si>
  <si>
    <t>03/23/2025</t>
  </si>
  <si>
    <t>03/16/2025</t>
  </si>
  <si>
    <t>02/23/2025</t>
  </si>
  <si>
    <t>02/16/2025</t>
  </si>
  <si>
    <t>01/26/2025</t>
  </si>
  <si>
    <t>01/19/2025</t>
  </si>
  <si>
    <t>12/29/2024</t>
  </si>
  <si>
    <t>12/22/2024</t>
  </si>
  <si>
    <t>12/15/2024</t>
  </si>
  <si>
    <t>11/24/2024</t>
  </si>
  <si>
    <t>11/17/2024</t>
  </si>
  <si>
    <t>10/27/2024</t>
  </si>
  <si>
    <t>10/20/2024</t>
  </si>
  <si>
    <t>10/13/2024</t>
  </si>
  <si>
    <t>09/29/2024</t>
  </si>
  <si>
    <t>09/22/2024</t>
  </si>
  <si>
    <t>09/15/2024</t>
  </si>
  <si>
    <t>08/25/2024</t>
  </si>
  <si>
    <t>08/18/2024</t>
  </si>
  <si>
    <t>07/28/2024</t>
  </si>
  <si>
    <t>07/21/2024</t>
  </si>
  <si>
    <t>07/14/2024</t>
  </si>
  <si>
    <t>06/30/2024</t>
  </si>
  <si>
    <t>06/23/2024</t>
  </si>
  <si>
    <t>06/16/2024</t>
  </si>
  <si>
    <t>05/26/2024</t>
  </si>
  <si>
    <t>05/19/2024</t>
  </si>
  <si>
    <t>04/28/2024</t>
  </si>
  <si>
    <t>04/21/2024</t>
  </si>
  <si>
    <t>04/14/2024</t>
  </si>
  <si>
    <t>03/31/2024</t>
  </si>
  <si>
    <t>03/24/2024</t>
  </si>
  <si>
    <t>03/17/2024</t>
  </si>
  <si>
    <t>02/25/2024</t>
  </si>
  <si>
    <t>02/18/2024</t>
  </si>
  <si>
    <t>01/28/2024</t>
  </si>
  <si>
    <t>01/21/2024</t>
  </si>
  <si>
    <t>01/14/2024</t>
  </si>
  <si>
    <t>12/31/2023</t>
  </si>
  <si>
    <t>12/24/2023</t>
  </si>
  <si>
    <t>12/17/2023</t>
  </si>
  <si>
    <t>11/26/2023</t>
  </si>
  <si>
    <t>11/19/2023</t>
  </si>
  <si>
    <t>10/29/2023</t>
  </si>
  <si>
    <t>10/22/2023</t>
  </si>
  <si>
    <t>10/15/2023</t>
  </si>
  <si>
    <t>09/24/2023</t>
  </si>
  <si>
    <t>09/17/2023</t>
  </si>
  <si>
    <t>08/27/2023</t>
  </si>
  <si>
    <t>08/20/2023</t>
  </si>
  <si>
    <t>08/13/2023</t>
  </si>
  <si>
    <t>07/30/2023</t>
  </si>
  <si>
    <t>07/23/2023</t>
  </si>
  <si>
    <t>07/16/2023</t>
  </si>
  <si>
    <t>06/25/2023</t>
  </si>
  <si>
    <t>06/18/2023</t>
  </si>
  <si>
    <t>05/28/2023</t>
  </si>
  <si>
    <t>05/21/2023</t>
  </si>
  <si>
    <t>05/14/2023</t>
  </si>
  <si>
    <t>04/30/2023</t>
  </si>
  <si>
    <t>04/23/2023</t>
  </si>
  <si>
    <t>04/16/2023</t>
  </si>
  <si>
    <t>03/26/2023</t>
  </si>
  <si>
    <t>03/19/2023</t>
  </si>
  <si>
    <t>02/26/2023</t>
  </si>
  <si>
    <t>02/19/2023</t>
  </si>
  <si>
    <t>01/29/2023</t>
  </si>
  <si>
    <t>01/22/2023</t>
  </si>
  <si>
    <t>01/15/2023</t>
  </si>
  <si>
    <t>12/25/2022</t>
  </si>
  <si>
    <t>12/18/2022</t>
  </si>
  <si>
    <t>11/27/2022</t>
  </si>
  <si>
    <t>11/20/2022</t>
  </si>
  <si>
    <t>11/13/2022</t>
  </si>
  <si>
    <t>10/30/2022</t>
  </si>
  <si>
    <t>10/23/2022</t>
  </si>
  <si>
    <t>10/16/2022</t>
  </si>
  <si>
    <t>09/25/2022</t>
  </si>
  <si>
    <t>09/18/2022</t>
  </si>
  <si>
    <t>08/28/2022</t>
  </si>
  <si>
    <t>08/21/2022</t>
  </si>
  <si>
    <t>08/14/2022</t>
  </si>
  <si>
    <t>07/31/2022</t>
  </si>
  <si>
    <t>07/24/2022</t>
  </si>
  <si>
    <t>07/17/2022</t>
  </si>
  <si>
    <t>06/26/2022</t>
  </si>
  <si>
    <t>06/19/2022</t>
  </si>
  <si>
    <t>05/29/2022</t>
  </si>
  <si>
    <t>05/22/2022</t>
  </si>
  <si>
    <t>05/15/2022</t>
  </si>
  <si>
    <t>04/24/2022</t>
  </si>
  <si>
    <t>04/17/2022</t>
  </si>
  <si>
    <t>03/27/2022</t>
  </si>
  <si>
    <t>03/20/2022</t>
  </si>
  <si>
    <t>03/13/2022</t>
  </si>
  <si>
    <t>02/27/2022</t>
  </si>
  <si>
    <t>02/20/2022</t>
  </si>
  <si>
    <t>02/13/2022</t>
  </si>
  <si>
    <t>01/30/2022</t>
  </si>
  <si>
    <t>01/23/2022</t>
  </si>
  <si>
    <t>01/16/2022</t>
  </si>
  <si>
    <t>12/26/2021</t>
  </si>
  <si>
    <t>12/19/2021</t>
  </si>
  <si>
    <t>11/28/2021</t>
  </si>
  <si>
    <t>11/21/2021</t>
  </si>
  <si>
    <t>11/14/2021</t>
  </si>
  <si>
    <t>10/31/2021</t>
  </si>
  <si>
    <t>10/24/2021</t>
  </si>
  <si>
    <t>10/17/2021</t>
  </si>
  <si>
    <t>09/26/2021</t>
  </si>
  <si>
    <t>09/19/2021</t>
  </si>
  <si>
    <t>08/29/2021</t>
  </si>
  <si>
    <t>08/22/2021</t>
  </si>
  <si>
    <t>08/15/2021</t>
  </si>
  <si>
    <t>07/25/2021</t>
  </si>
  <si>
    <t>07/18/2021</t>
  </si>
  <si>
    <t>06/27/2021</t>
  </si>
  <si>
    <t>06/20/2021</t>
  </si>
  <si>
    <t>06/13/2021</t>
  </si>
  <si>
    <t>05/30/2021</t>
  </si>
  <si>
    <t>05/23/2021</t>
  </si>
  <si>
    <t>05/16/2021</t>
  </si>
  <si>
    <t>04/25/2021</t>
  </si>
  <si>
    <t>04/18/2021</t>
  </si>
  <si>
    <t>03/28/2021</t>
  </si>
  <si>
    <t>03/21/2021</t>
  </si>
  <si>
    <t>03/14/2021</t>
  </si>
  <si>
    <t>02/28/2021</t>
  </si>
  <si>
    <t>02/21/2021</t>
  </si>
  <si>
    <t>02/14/2021</t>
  </si>
  <si>
    <t>01/31/2021</t>
  </si>
  <si>
    <t>01/24/2021</t>
  </si>
  <si>
    <t>01/17/2021</t>
  </si>
  <si>
    <t>12/27/2020</t>
  </si>
  <si>
    <t>12/20/2020</t>
  </si>
  <si>
    <t>12/13/2020</t>
  </si>
  <si>
    <t>11/29/2020</t>
  </si>
  <si>
    <t>11/22/2020</t>
  </si>
  <si>
    <t>11/15/2020</t>
  </si>
  <si>
    <t>10/25/2020</t>
  </si>
  <si>
    <t>10/18/2020</t>
  </si>
  <si>
    <t>09/27/2020</t>
  </si>
  <si>
    <t>09/20/2020</t>
  </si>
  <si>
    <t>09/13/2020</t>
  </si>
  <si>
    <t>08/30/2020</t>
  </si>
  <si>
    <t>08/23/2020</t>
  </si>
  <si>
    <t>08/16/2020</t>
  </si>
  <si>
    <t>07/26/2020</t>
  </si>
  <si>
    <t>07/19/2020</t>
  </si>
  <si>
    <t>Regression Beta</t>
  </si>
  <si>
    <t>Name</t>
  </si>
  <si>
    <t>Market Cap</t>
  </si>
  <si>
    <t>Total Capital</t>
  </si>
  <si>
    <t>Net Debt</t>
  </si>
  <si>
    <t>Unlevered Beta</t>
  </si>
  <si>
    <t>Average Unlevered Beta</t>
  </si>
  <si>
    <t>Relevered Beta</t>
  </si>
  <si>
    <t>Average Unlevered Beta of Comps</t>
  </si>
  <si>
    <t>Target Firm</t>
  </si>
  <si>
    <t>Comps -</t>
  </si>
  <si>
    <t>Relevered Beta -</t>
  </si>
  <si>
    <t xml:space="preserve">Bottom up Beta </t>
  </si>
  <si>
    <t>Cost of Equity (Ke)</t>
  </si>
  <si>
    <t>Cost of Debt</t>
  </si>
  <si>
    <t>CMP</t>
  </si>
  <si>
    <t>Redemption</t>
  </si>
  <si>
    <t>Valuation Date</t>
  </si>
  <si>
    <t>Time to Maturity</t>
  </si>
  <si>
    <t>Coupon</t>
  </si>
  <si>
    <t>FV</t>
  </si>
  <si>
    <t>Coupon Amount</t>
  </si>
  <si>
    <t>CMP Amount</t>
  </si>
  <si>
    <t>Frequency</t>
  </si>
  <si>
    <t>Semi-Annual</t>
  </si>
  <si>
    <t>YTM</t>
  </si>
  <si>
    <t>YTM (Annualised)</t>
  </si>
  <si>
    <t>Value of Firm</t>
  </si>
  <si>
    <t>WACC</t>
  </si>
  <si>
    <t>Value of Equity</t>
  </si>
  <si>
    <t>Mid Year Convention</t>
  </si>
  <si>
    <t>GDP Growth (US)</t>
  </si>
  <si>
    <t>Less: Value of debt</t>
  </si>
  <si>
    <t>Add:Cash and cash equivalents</t>
  </si>
  <si>
    <t>Add: Investments</t>
  </si>
  <si>
    <t>Shares Outstanding</t>
  </si>
  <si>
    <t>FV/Share</t>
  </si>
  <si>
    <t>Calculation of Cost of Equity (CAPM)</t>
  </si>
  <si>
    <t>Yield of Coca-Cola Bond -</t>
  </si>
  <si>
    <t>Calculation of Cost of Debt</t>
  </si>
  <si>
    <t>Notes -</t>
  </si>
  <si>
    <r>
      <t xml:space="preserve">Add/Less: Extraordinary Items </t>
    </r>
    <r>
      <rPr>
        <vertAlign val="superscript"/>
        <sz val="11"/>
        <color theme="1"/>
        <rFont val="Calibri"/>
        <family val="2"/>
      </rPr>
      <t>1</t>
    </r>
  </si>
  <si>
    <r>
      <t xml:space="preserve">Dividend Payout Ratio </t>
    </r>
    <r>
      <rPr>
        <i/>
        <vertAlign val="superscript"/>
        <sz val="11"/>
        <color theme="1"/>
        <rFont val="Calibri"/>
        <family val="2"/>
      </rPr>
      <t>2</t>
    </r>
  </si>
  <si>
    <t>1. Items in the income statement are converted into from GAAP to Non-GAAP measures to represent a more relevant picture of the company's performance, Extraordinary items under GAAP are taken from Coca-Cola's 8k report for the respective years</t>
  </si>
  <si>
    <t>2. Dividend payout ratio is modelled to increase over the years as the assumption is that they will increase their dividend payments due to historical data and the maturity of the company</t>
  </si>
  <si>
    <t xml:space="preserve">Notes - </t>
  </si>
  <si>
    <t>1. BS line items such as; Short-term investments, Marketable securities, Equity method investments, Deferred income tax assets, Trademarks with indefinite lives, Goodwill, Other noncurrent liabilities, Deferred income tax liabilities, Other investments, Prepaid expenses are straight lined for forecasting simplicity purpose.</t>
  </si>
  <si>
    <r>
      <t xml:space="preserve">Amortization (Forecasted in FS 2023) </t>
    </r>
    <r>
      <rPr>
        <vertAlign val="superscript"/>
        <sz val="11"/>
        <color theme="1"/>
        <rFont val="Calibri"/>
        <family val="2"/>
      </rPr>
      <t>1</t>
    </r>
  </si>
  <si>
    <t>2. Amortization expense for the year 2029 not given in FY23 10K report and hence straight lined forecasted expense from FY2028</t>
  </si>
  <si>
    <t>1. Amortization expense forecast figures not available in the 10K report for FY 24, hence FY 23 figs are taken</t>
  </si>
  <si>
    <r>
      <rPr>
        <vertAlign val="superscript"/>
        <sz val="11"/>
        <color theme="1"/>
        <rFont val="Calibri"/>
        <family val="2"/>
      </rPr>
      <t>2</t>
    </r>
  </si>
  <si>
    <t>As per Long Term Bond in Coca-Cola 10K 2024</t>
  </si>
  <si>
    <t>Name of Bond</t>
  </si>
  <si>
    <t>Symbol</t>
  </si>
  <si>
    <t>Coca-Cola Company 7.375% 29-JUL-2093</t>
  </si>
  <si>
    <t>KO.GC</t>
  </si>
  <si>
    <r>
      <t xml:space="preserve">Risk free rate of returns </t>
    </r>
    <r>
      <rPr>
        <vertAlign val="superscript"/>
        <sz val="11"/>
        <color theme="1"/>
        <rFont val="Calibri"/>
        <family val="2"/>
      </rPr>
      <t>1</t>
    </r>
  </si>
  <si>
    <r>
      <t xml:space="preserve">Date </t>
    </r>
    <r>
      <rPr>
        <vertAlign val="superscript"/>
        <sz val="11"/>
        <color theme="1"/>
        <rFont val="Calibri"/>
        <family val="2"/>
      </rPr>
      <t>2</t>
    </r>
  </si>
  <si>
    <t>1. Risk free return taken as the 10 year US treasury yield</t>
  </si>
  <si>
    <t>2. Valuation date is on 19-07-2025</t>
  </si>
  <si>
    <r>
      <t xml:space="preserve">Tax Rate </t>
    </r>
    <r>
      <rPr>
        <vertAlign val="superscript"/>
        <sz val="11"/>
        <color theme="1"/>
        <rFont val="Calibri"/>
        <family val="2"/>
      </rPr>
      <t>1</t>
    </r>
  </si>
  <si>
    <t>1. Tax rate taken according to KPMG Corporate Tax Rate Table</t>
  </si>
  <si>
    <r>
      <t xml:space="preserve">Marginal Tax Rate </t>
    </r>
    <r>
      <rPr>
        <vertAlign val="superscript"/>
        <sz val="11"/>
        <color theme="1"/>
        <rFont val="Calibri"/>
        <family val="2"/>
      </rPr>
      <t>1</t>
    </r>
  </si>
  <si>
    <r>
      <t xml:space="preserve">Add/Less: Inorganic growth </t>
    </r>
    <r>
      <rPr>
        <i/>
        <vertAlign val="superscript"/>
        <sz val="11"/>
        <color theme="1"/>
        <rFont val="Calibri"/>
        <family val="2"/>
      </rPr>
      <t>1</t>
    </r>
  </si>
  <si>
    <r>
      <t xml:space="preserve">Add/Less: Inorganic growth (only fx) </t>
    </r>
    <r>
      <rPr>
        <i/>
        <vertAlign val="superscript"/>
        <sz val="11"/>
        <color theme="1"/>
        <rFont val="Calibri"/>
        <family val="2"/>
      </rPr>
      <t>2</t>
    </r>
  </si>
  <si>
    <r>
      <t xml:space="preserve">Organic Growth % </t>
    </r>
    <r>
      <rPr>
        <i/>
        <vertAlign val="superscript"/>
        <sz val="11"/>
        <color theme="1"/>
        <rFont val="Calibri"/>
        <family val="2"/>
      </rPr>
      <t>3</t>
    </r>
  </si>
  <si>
    <r>
      <rPr>
        <vertAlign val="superscript"/>
        <sz val="11"/>
        <color theme="1"/>
        <rFont val="Calibri"/>
        <family val="2"/>
      </rPr>
      <t>4</t>
    </r>
  </si>
  <si>
    <t>1. Inorganic growth refers to the growth of revenue of the segment contributed by factors such as; forex currency fluctuations, restructuring activities in the form of acquisitions and divestments</t>
  </si>
  <si>
    <t>2. Acquisitions and divestments factor is excluded in the inorganic growth adjustment for bottling investments segment due to historical data showing Coca-Cola's strategy of being asset-light in this segment by adopting a franchise model where bottling of their products is undertaken by bottling partners</t>
  </si>
  <si>
    <t>3. In addition to the above note, the operating assumption is that Coca-Cola will further divest in this segment to reduce CapEx and focus on its brand value and hence the revenue from their own bottling investments will reduce in the forecasted years</t>
  </si>
  <si>
    <t>4. %Figures which are more volatile/uncertain in terms of their historical changes are forecasted by applying a moving average in this financial model</t>
  </si>
  <si>
    <t>Legend</t>
  </si>
  <si>
    <t>Hardcoded</t>
  </si>
  <si>
    <t>Formula</t>
  </si>
  <si>
    <t>Intrasheet Links</t>
  </si>
  <si>
    <t>Intersheet Links</t>
  </si>
  <si>
    <t xml:space="preserve">Note - </t>
  </si>
  <si>
    <t>All Hardcoded numbers are taken from the Company's 10K, 8K reports and trusted websites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</si>
</sst>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quot;FY&quot;0"/>
    <numFmt numFmtId="165" formatCode="#,##0;\(#,##0\);\-"/>
    <numFmt numFmtId="166" formatCode="0.00%;\-0.00%;\-"/>
    <numFmt numFmtId="167" formatCode="_(* #,##0_);_(* \(#,##0\);_(* &quot;-&quot;??_);_(@_)"/>
    <numFmt numFmtId="168" formatCode="0.0\x"/>
    <numFmt numFmtId="169" formatCode="0&quot; Days&quot;"/>
    <numFmt numFmtId="170" formatCode="#,##0.0;\(#,##0.0\);\-"/>
  </numFmts>
  <fonts count="25" x14ac:knownFonts="1">
    <font>
      <sz val="11"/>
      <color theme="1"/>
      <name val="Calibri"/>
      <family val="2"/>
    </font>
    <font>
      <sz val="11"/>
      <color theme="1"/>
      <name val="Calibri"/>
      <family val="2"/>
    </font>
    <font>
      <b/>
      <sz val="11"/>
      <color theme="1"/>
      <name val="Calibri"/>
      <family val="2"/>
    </font>
    <font>
      <i/>
      <sz val="11"/>
      <color theme="1"/>
      <name val="Calibri"/>
      <family val="2"/>
    </font>
    <font>
      <sz val="11"/>
      <color rgb="FF0000FF"/>
      <name val="Calibri"/>
      <family val="2"/>
    </font>
    <font>
      <sz val="11"/>
      <name val="Calibri"/>
      <family val="2"/>
    </font>
    <font>
      <sz val="11"/>
      <color rgb="FF388600"/>
      <name val="Calibri"/>
      <family val="2"/>
    </font>
    <font>
      <b/>
      <sz val="11"/>
      <name val="Calibri"/>
      <family val="2"/>
    </font>
    <font>
      <i/>
      <sz val="11"/>
      <name val="Calibri"/>
      <family val="2"/>
    </font>
    <font>
      <b/>
      <u/>
      <sz val="11"/>
      <color theme="1"/>
      <name val="Calibri"/>
      <family val="2"/>
    </font>
    <font>
      <sz val="11"/>
      <color rgb="FF7030A0"/>
      <name val="Calibri"/>
      <family val="2"/>
    </font>
    <font>
      <i/>
      <sz val="11"/>
      <color rgb="FF0000FF"/>
      <name val="Calibri"/>
      <family val="2"/>
    </font>
    <font>
      <b/>
      <sz val="11"/>
      <color rgb="FF0000FF"/>
      <name val="Calibri"/>
      <family val="2"/>
    </font>
    <font>
      <sz val="11"/>
      <color rgb="FF0000FF"/>
      <name val="Calibri"/>
      <family val="2"/>
      <scheme val="minor"/>
    </font>
    <font>
      <i/>
      <sz val="11"/>
      <color rgb="FF7030A0"/>
      <name val="Calibri"/>
      <family val="2"/>
    </font>
    <font>
      <i/>
      <sz val="11"/>
      <color theme="2" tint="-0.499984740745262"/>
      <name val="Calibri"/>
      <family val="2"/>
    </font>
    <font>
      <sz val="11"/>
      <color theme="2" tint="-0.499984740745262"/>
      <name val="Calibri"/>
      <family val="2"/>
    </font>
    <font>
      <i/>
      <sz val="11"/>
      <color rgb="FF388600"/>
      <name val="Calibri"/>
      <family val="2"/>
    </font>
    <font>
      <b/>
      <sz val="11"/>
      <color theme="1"/>
      <name val="Calibri"/>
      <family val="2"/>
      <scheme val="minor"/>
    </font>
    <font>
      <b/>
      <sz val="11"/>
      <color theme="0"/>
      <name val="Calibri"/>
      <family val="2"/>
    </font>
    <font>
      <sz val="11"/>
      <color theme="9" tint="-0.249977111117893"/>
      <name val="Calibri"/>
      <family val="2"/>
    </font>
    <font>
      <b/>
      <sz val="11"/>
      <color theme="9" tint="-0.249977111117893"/>
      <name val="Calibri"/>
      <family val="2"/>
    </font>
    <font>
      <i/>
      <vertAlign val="superscript"/>
      <sz val="11"/>
      <color theme="1"/>
      <name val="Calibri"/>
      <family val="2"/>
    </font>
    <font>
      <vertAlign val="superscript"/>
      <sz val="11"/>
      <color theme="1"/>
      <name val="Calibri"/>
      <family val="2"/>
    </font>
    <font>
      <b/>
      <i/>
      <sz val="11"/>
      <color theme="1"/>
      <name val="Calibri"/>
      <family val="2"/>
    </font>
  </fonts>
  <fills count="4">
    <fill>
      <patternFill patternType="none"/>
    </fill>
    <fill>
      <patternFill patternType="gray125"/>
    </fill>
    <fill>
      <patternFill patternType="solid">
        <fgColor rgb="FF336699"/>
        <bgColor indexed="64"/>
      </patternFill>
    </fill>
    <fill>
      <patternFill patternType="solid">
        <fgColor theme="4" tint="0.59999389629810485"/>
        <bgColor indexed="64"/>
      </patternFill>
    </fill>
  </fills>
  <borders count="27">
    <border>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top style="medium">
        <color auto="1"/>
      </top>
      <bottom style="thick">
        <color auto="1"/>
      </bottom>
      <diagonal/>
    </border>
    <border>
      <left/>
      <right style="thin">
        <color indexed="64"/>
      </right>
      <top style="medium">
        <color auto="1"/>
      </top>
      <bottom style="thick">
        <color auto="1"/>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thin">
        <color auto="1"/>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dotted">
        <color auto="1"/>
      </top>
      <bottom style="dotted">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
      <left style="thin">
        <color indexed="64"/>
      </left>
      <right/>
      <top/>
      <bottom style="thin">
        <color auto="1"/>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93">
    <xf numFmtId="0" fontId="0" fillId="0" borderId="0" xfId="0"/>
    <xf numFmtId="164" fontId="0" fillId="0" borderId="0" xfId="0" applyNumberFormat="1"/>
    <xf numFmtId="0" fontId="0" fillId="0" borderId="0" xfId="0" applyAlignment="1">
      <alignment wrapText="1"/>
    </xf>
    <xf numFmtId="0" fontId="3" fillId="0" borderId="0" xfId="0" applyFont="1"/>
    <xf numFmtId="3" fontId="0" fillId="0" borderId="0" xfId="0" applyNumberFormat="1"/>
    <xf numFmtId="165" fontId="4" fillId="0" borderId="0" xfId="0" applyNumberFormat="1" applyFont="1"/>
    <xf numFmtId="165" fontId="5" fillId="0" borderId="0" xfId="0" applyNumberFormat="1" applyFont="1"/>
    <xf numFmtId="166" fontId="4" fillId="0" borderId="0" xfId="1" applyNumberFormat="1" applyFont="1"/>
    <xf numFmtId="165" fontId="4" fillId="0" borderId="2" xfId="0" applyNumberFormat="1" applyFont="1" applyBorder="1"/>
    <xf numFmtId="166" fontId="4" fillId="0" borderId="2" xfId="1" applyNumberFormat="1" applyFont="1" applyBorder="1"/>
    <xf numFmtId="0" fontId="0" fillId="0" borderId="2" xfId="0" applyBorder="1"/>
    <xf numFmtId="0" fontId="2" fillId="0" borderId="3" xfId="0" applyFont="1" applyBorder="1"/>
    <xf numFmtId="0" fontId="0" fillId="0" borderId="3" xfId="0" applyBorder="1"/>
    <xf numFmtId="0" fontId="2" fillId="0" borderId="4" xfId="0" applyFont="1" applyBorder="1"/>
    <xf numFmtId="0" fontId="0" fillId="0" borderId="4" xfId="0" applyBorder="1"/>
    <xf numFmtId="165" fontId="5" fillId="0" borderId="4" xfId="0" applyNumberFormat="1" applyFont="1" applyBorder="1"/>
    <xf numFmtId="165" fontId="5" fillId="0" borderId="5" xfId="0" applyNumberFormat="1" applyFont="1" applyBorder="1"/>
    <xf numFmtId="0" fontId="5" fillId="0" borderId="0" xfId="0" applyFont="1"/>
    <xf numFmtId="0" fontId="2" fillId="0" borderId="0" xfId="0" applyFont="1"/>
    <xf numFmtId="0" fontId="0" fillId="0" borderId="6" xfId="0" applyBorder="1"/>
    <xf numFmtId="0" fontId="4" fillId="0" borderId="0" xfId="0" applyFont="1"/>
    <xf numFmtId="165" fontId="0" fillId="0" borderId="6" xfId="0" applyNumberFormat="1" applyBorder="1"/>
    <xf numFmtId="165" fontId="6" fillId="0" borderId="0" xfId="0" applyNumberFormat="1" applyFont="1"/>
    <xf numFmtId="165" fontId="2" fillId="0" borderId="0" xfId="0" applyNumberFormat="1" applyFont="1"/>
    <xf numFmtId="165" fontId="2" fillId="0" borderId="3" xfId="0" applyNumberFormat="1" applyFont="1" applyBorder="1"/>
    <xf numFmtId="2" fontId="0" fillId="0" borderId="0" xfId="0" applyNumberFormat="1"/>
    <xf numFmtId="3" fontId="4" fillId="0" borderId="0" xfId="0" applyNumberFormat="1" applyFont="1"/>
    <xf numFmtId="2" fontId="4" fillId="0" borderId="0" xfId="0" applyNumberFormat="1" applyFont="1"/>
    <xf numFmtId="10" fontId="3" fillId="0" borderId="0" xfId="1" applyNumberFormat="1" applyFont="1"/>
    <xf numFmtId="10" fontId="0" fillId="0" borderId="0" xfId="0" applyNumberFormat="1"/>
    <xf numFmtId="165" fontId="5" fillId="0" borderId="6" xfId="0" applyNumberFormat="1" applyFont="1" applyBorder="1"/>
    <xf numFmtId="2" fontId="5" fillId="0" borderId="0" xfId="0" applyNumberFormat="1" applyFont="1"/>
    <xf numFmtId="165" fontId="8" fillId="0" borderId="0" xfId="0" applyNumberFormat="1" applyFont="1"/>
    <xf numFmtId="0" fontId="9" fillId="0" borderId="0" xfId="0" applyFont="1"/>
    <xf numFmtId="167" fontId="0" fillId="0" borderId="0" xfId="0" applyNumberFormat="1"/>
    <xf numFmtId="10" fontId="0" fillId="0" borderId="0" xfId="1" applyNumberFormat="1" applyFont="1"/>
    <xf numFmtId="168" fontId="0" fillId="0" borderId="0" xfId="0" applyNumberFormat="1"/>
    <xf numFmtId="0" fontId="0" fillId="0" borderId="0" xfId="0" applyAlignment="1">
      <alignment horizontal="left" indent="1"/>
    </xf>
    <xf numFmtId="169" fontId="0" fillId="0" borderId="0" xfId="0" applyNumberFormat="1"/>
    <xf numFmtId="168" fontId="4" fillId="0" borderId="0" xfId="0" applyNumberFormat="1" applyFont="1"/>
    <xf numFmtId="169" fontId="4" fillId="0" borderId="0" xfId="0" applyNumberFormat="1" applyFont="1"/>
    <xf numFmtId="170" fontId="4" fillId="0" borderId="0" xfId="0" applyNumberFormat="1" applyFont="1"/>
    <xf numFmtId="170" fontId="0" fillId="0" borderId="0" xfId="0" applyNumberFormat="1"/>
    <xf numFmtId="170" fontId="10" fillId="0" borderId="0" xfId="0" applyNumberFormat="1" applyFont="1"/>
    <xf numFmtId="170" fontId="6" fillId="0" borderId="0" xfId="0" applyNumberFormat="1" applyFont="1"/>
    <xf numFmtId="170" fontId="0" fillId="0" borderId="0" xfId="0" applyNumberFormat="1" applyAlignment="1">
      <alignment horizontal="center"/>
    </xf>
    <xf numFmtId="10" fontId="10" fillId="0" borderId="0" xfId="0" applyNumberFormat="1" applyFont="1"/>
    <xf numFmtId="10" fontId="14" fillId="0" borderId="0" xfId="0" applyNumberFormat="1" applyFont="1"/>
    <xf numFmtId="10" fontId="3" fillId="0" borderId="0" xfId="0" applyNumberFormat="1" applyFont="1"/>
    <xf numFmtId="166" fontId="3" fillId="0" borderId="0" xfId="1" applyNumberFormat="1" applyFont="1"/>
    <xf numFmtId="166" fontId="3" fillId="0" borderId="2" xfId="1" applyNumberFormat="1" applyFont="1" applyBorder="1"/>
    <xf numFmtId="166" fontId="8" fillId="0" borderId="0" xfId="0" applyNumberFormat="1" applyFont="1"/>
    <xf numFmtId="166" fontId="11" fillId="0" borderId="0" xfId="1" applyNumberFormat="1" applyFont="1"/>
    <xf numFmtId="166" fontId="11" fillId="0" borderId="2" xfId="1" applyNumberFormat="1" applyFont="1" applyBorder="1"/>
    <xf numFmtId="10" fontId="8" fillId="0" borderId="0" xfId="0" applyNumberFormat="1" applyFont="1"/>
    <xf numFmtId="9" fontId="11" fillId="0" borderId="0" xfId="0" applyNumberFormat="1" applyFont="1"/>
    <xf numFmtId="0" fontId="8" fillId="0" borderId="0" xfId="0" applyFont="1"/>
    <xf numFmtId="170" fontId="2" fillId="0" borderId="3" xfId="0" applyNumberFormat="1" applyFont="1" applyBorder="1"/>
    <xf numFmtId="170" fontId="12" fillId="0" borderId="3" xfId="0" applyNumberFormat="1" applyFont="1" applyBorder="1"/>
    <xf numFmtId="0" fontId="15" fillId="0" borderId="0" xfId="0" applyFont="1"/>
    <xf numFmtId="0" fontId="16" fillId="0" borderId="0" xfId="0" applyFont="1"/>
    <xf numFmtId="170" fontId="15" fillId="0" borderId="0" xfId="0" applyNumberFormat="1" applyFont="1" applyAlignment="1">
      <alignment horizontal="center"/>
    </xf>
    <xf numFmtId="165" fontId="11" fillId="0" borderId="0" xfId="0" applyNumberFormat="1" applyFont="1"/>
    <xf numFmtId="165" fontId="17" fillId="0" borderId="0" xfId="0" applyNumberFormat="1" applyFont="1"/>
    <xf numFmtId="0" fontId="18" fillId="0" borderId="0" xfId="0" applyFont="1"/>
    <xf numFmtId="165" fontId="0" fillId="0" borderId="0" xfId="0" applyNumberFormat="1"/>
    <xf numFmtId="170" fontId="2" fillId="0" borderId="0" xfId="0" applyNumberFormat="1" applyFont="1"/>
    <xf numFmtId="10" fontId="4" fillId="0" borderId="0" xfId="1" applyNumberFormat="1" applyFont="1"/>
    <xf numFmtId="10" fontId="10" fillId="0" borderId="0" xfId="1" applyNumberFormat="1" applyFont="1"/>
    <xf numFmtId="10" fontId="6" fillId="0" borderId="0" xfId="1" applyNumberFormat="1" applyFont="1"/>
    <xf numFmtId="170" fontId="13" fillId="0" borderId="0" xfId="2" applyNumberFormat="1" applyFont="1" applyBorder="1"/>
    <xf numFmtId="170" fontId="5" fillId="0" borderId="0" xfId="0" applyNumberFormat="1" applyFont="1"/>
    <xf numFmtId="164" fontId="19" fillId="2" borderId="7" xfId="0" applyNumberFormat="1" applyFont="1" applyFill="1" applyBorder="1"/>
    <xf numFmtId="164" fontId="19" fillId="2" borderId="7" xfId="0" applyNumberFormat="1" applyFont="1" applyFill="1" applyBorder="1" applyAlignment="1">
      <alignment horizontal="center"/>
    </xf>
    <xf numFmtId="164" fontId="19" fillId="2" borderId="8" xfId="0" applyNumberFormat="1" applyFont="1" applyFill="1" applyBorder="1"/>
    <xf numFmtId="165" fontId="2" fillId="0" borderId="4" xfId="0" applyNumberFormat="1" applyFont="1" applyBorder="1"/>
    <xf numFmtId="170" fontId="2" fillId="0" borderId="4" xfId="0" applyNumberFormat="1" applyFont="1" applyBorder="1"/>
    <xf numFmtId="170" fontId="0" fillId="0" borderId="4" xfId="0" applyNumberFormat="1" applyBorder="1"/>
    <xf numFmtId="4" fontId="2" fillId="0" borderId="4" xfId="0" applyNumberFormat="1" applyFont="1" applyBorder="1"/>
    <xf numFmtId="4" fontId="0" fillId="0" borderId="4" xfId="0" applyNumberFormat="1" applyBorder="1"/>
    <xf numFmtId="165" fontId="7" fillId="0" borderId="3" xfId="0" applyNumberFormat="1" applyFont="1" applyBorder="1"/>
    <xf numFmtId="165" fontId="7" fillId="0" borderId="1" xfId="0" applyNumberFormat="1" applyFont="1" applyBorder="1"/>
    <xf numFmtId="10" fontId="14" fillId="0" borderId="0" xfId="1" applyNumberFormat="1" applyFont="1"/>
    <xf numFmtId="9" fontId="0" fillId="0" borderId="0" xfId="1" applyFont="1"/>
    <xf numFmtId="10" fontId="4" fillId="0" borderId="0" xfId="0" applyNumberFormat="1" applyFont="1"/>
    <xf numFmtId="164" fontId="19" fillId="2" borderId="8" xfId="0" applyNumberFormat="1" applyFont="1" applyFill="1" applyBorder="1" applyAlignment="1">
      <alignment horizontal="center"/>
    </xf>
    <xf numFmtId="0" fontId="0" fillId="0" borderId="9" xfId="0" applyBorder="1"/>
    <xf numFmtId="165" fontId="6" fillId="0" borderId="2" xfId="0" applyNumberFormat="1" applyFont="1" applyBorder="1"/>
    <xf numFmtId="165" fontId="5" fillId="0" borderId="2" xfId="0" applyNumberFormat="1" applyFont="1" applyBorder="1"/>
    <xf numFmtId="3" fontId="4" fillId="0" borderId="2" xfId="0" applyNumberFormat="1" applyFont="1" applyBorder="1"/>
    <xf numFmtId="165" fontId="0" fillId="0" borderId="10" xfId="0" applyNumberFormat="1" applyBorder="1"/>
    <xf numFmtId="165" fontId="2" fillId="0" borderId="2" xfId="0" applyNumberFormat="1" applyFont="1" applyBorder="1"/>
    <xf numFmtId="165" fontId="2" fillId="0" borderId="1" xfId="0" applyNumberFormat="1" applyFont="1" applyBorder="1"/>
    <xf numFmtId="0" fontId="4" fillId="0" borderId="2" xfId="0" applyFont="1" applyBorder="1"/>
    <xf numFmtId="165" fontId="2" fillId="0" borderId="5" xfId="0" applyNumberFormat="1" applyFont="1" applyBorder="1"/>
    <xf numFmtId="2" fontId="0" fillId="0" borderId="2" xfId="0" applyNumberFormat="1" applyBorder="1"/>
    <xf numFmtId="2" fontId="4" fillId="0" borderId="2" xfId="0" applyNumberFormat="1" applyFont="1" applyBorder="1"/>
    <xf numFmtId="10" fontId="3" fillId="0" borderId="2" xfId="1" applyNumberFormat="1" applyFont="1" applyBorder="1"/>
    <xf numFmtId="165" fontId="8" fillId="0" borderId="2" xfId="0" applyNumberFormat="1" applyFont="1" applyBorder="1"/>
    <xf numFmtId="165" fontId="11" fillId="0" borderId="2" xfId="0" applyNumberFormat="1" applyFont="1" applyBorder="1"/>
    <xf numFmtId="164" fontId="19" fillId="2" borderId="11" xfId="0" applyNumberFormat="1" applyFont="1" applyFill="1" applyBorder="1" applyAlignment="1">
      <alignment horizontal="center"/>
    </xf>
    <xf numFmtId="170" fontId="4" fillId="0" borderId="2" xfId="0" applyNumberFormat="1" applyFont="1" applyBorder="1"/>
    <xf numFmtId="170" fontId="2" fillId="0" borderId="1" xfId="0" applyNumberFormat="1" applyFont="1" applyBorder="1"/>
    <xf numFmtId="170" fontId="2" fillId="0" borderId="5" xfId="0" applyNumberFormat="1" applyFont="1" applyBorder="1"/>
    <xf numFmtId="170" fontId="0" fillId="0" borderId="2" xfId="0" applyNumberFormat="1" applyBorder="1"/>
    <xf numFmtId="170" fontId="12" fillId="0" borderId="1" xfId="0" applyNumberFormat="1" applyFont="1" applyBorder="1"/>
    <xf numFmtId="170" fontId="15" fillId="0" borderId="2" xfId="0" applyNumberFormat="1" applyFont="1" applyBorder="1" applyAlignment="1">
      <alignment horizontal="center"/>
    </xf>
    <xf numFmtId="170" fontId="0" fillId="0" borderId="2" xfId="0" applyNumberFormat="1" applyBorder="1" applyAlignment="1">
      <alignment horizontal="center"/>
    </xf>
    <xf numFmtId="170" fontId="10" fillId="0" borderId="2" xfId="0" applyNumberFormat="1" applyFont="1" applyBorder="1"/>
    <xf numFmtId="169" fontId="0" fillId="0" borderId="2" xfId="0" applyNumberFormat="1" applyBorder="1"/>
    <xf numFmtId="164" fontId="19" fillId="2" borderId="11" xfId="0" applyNumberFormat="1" applyFont="1" applyFill="1" applyBorder="1"/>
    <xf numFmtId="0" fontId="2" fillId="0" borderId="5" xfId="0" applyFont="1" applyBorder="1"/>
    <xf numFmtId="10" fontId="0" fillId="0" borderId="2" xfId="1" applyNumberFormat="1" applyFont="1" applyBorder="1"/>
    <xf numFmtId="168" fontId="0" fillId="0" borderId="2" xfId="0" applyNumberFormat="1" applyBorder="1"/>
    <xf numFmtId="167" fontId="0" fillId="0" borderId="2" xfId="0" applyNumberFormat="1" applyBorder="1"/>
    <xf numFmtId="0" fontId="0" fillId="0" borderId="0" xfId="0" applyAlignment="1">
      <alignment horizontal="right"/>
    </xf>
    <xf numFmtId="0" fontId="2" fillId="0" borderId="0" xfId="0" applyFont="1" applyAlignment="1">
      <alignment horizontal="center"/>
    </xf>
    <xf numFmtId="2" fontId="2" fillId="0" borderId="0" xfId="0" applyNumberFormat="1" applyFont="1"/>
    <xf numFmtId="10" fontId="2" fillId="0" borderId="0" xfId="0" applyNumberFormat="1" applyFont="1"/>
    <xf numFmtId="10" fontId="4" fillId="0" borderId="0" xfId="1" applyNumberFormat="1" applyFont="1" applyBorder="1" applyAlignment="1">
      <alignment wrapText="1"/>
    </xf>
    <xf numFmtId="10" fontId="4" fillId="3" borderId="0" xfId="1" applyNumberFormat="1" applyFont="1" applyFill="1" applyBorder="1" applyAlignment="1">
      <alignment wrapText="1"/>
    </xf>
    <xf numFmtId="170" fontId="0" fillId="3" borderId="0" xfId="0" applyNumberFormat="1" applyFill="1"/>
    <xf numFmtId="0" fontId="2" fillId="0" borderId="15" xfId="0" applyFont="1" applyBorder="1"/>
    <xf numFmtId="170" fontId="2" fillId="0" borderId="15" xfId="0" applyNumberFormat="1" applyFont="1" applyBorder="1"/>
    <xf numFmtId="170" fontId="20" fillId="0" borderId="0" xfId="0" applyNumberFormat="1" applyFont="1"/>
    <xf numFmtId="170" fontId="21" fillId="0" borderId="0" xfId="0" applyNumberFormat="1" applyFont="1"/>
    <xf numFmtId="0" fontId="2" fillId="0" borderId="6" xfId="0" applyFont="1" applyBorder="1"/>
    <xf numFmtId="0" fontId="2" fillId="0" borderId="10" xfId="0" applyFont="1" applyBorder="1"/>
    <xf numFmtId="0" fontId="0" fillId="0" borderId="16" xfId="0" applyBorder="1"/>
    <xf numFmtId="2" fontId="0" fillId="0" borderId="16" xfId="0" applyNumberFormat="1" applyBorder="1"/>
    <xf numFmtId="0" fontId="0" fillId="0" borderId="19" xfId="0" applyBorder="1"/>
    <xf numFmtId="0" fontId="0" fillId="0" borderId="10" xfId="0" applyBorder="1"/>
    <xf numFmtId="2" fontId="0" fillId="0" borderId="17" xfId="0" applyNumberFormat="1" applyBorder="1"/>
    <xf numFmtId="0" fontId="0" fillId="0" borderId="17" xfId="0" applyBorder="1"/>
    <xf numFmtId="0" fontId="2" fillId="0" borderId="20" xfId="0" applyFont="1" applyBorder="1"/>
    <xf numFmtId="0" fontId="2" fillId="0" borderId="16" xfId="0" applyFont="1" applyBorder="1"/>
    <xf numFmtId="2" fontId="2" fillId="0" borderId="20" xfId="0" applyNumberFormat="1" applyFont="1" applyBorder="1"/>
    <xf numFmtId="2" fontId="2" fillId="0" borderId="6" xfId="0" applyNumberFormat="1" applyFont="1" applyBorder="1"/>
    <xf numFmtId="0" fontId="2" fillId="0" borderId="6" xfId="0" applyFont="1" applyBorder="1" applyAlignment="1">
      <alignment horizontal="center"/>
    </xf>
    <xf numFmtId="2" fontId="2" fillId="0" borderId="6" xfId="0" applyNumberFormat="1" applyFont="1" applyBorder="1" applyAlignment="1">
      <alignment horizontal="center"/>
    </xf>
    <xf numFmtId="2" fontId="2" fillId="0" borderId="6" xfId="1" applyNumberFormat="1" applyFont="1" applyBorder="1" applyAlignment="1">
      <alignment horizontal="center"/>
    </xf>
    <xf numFmtId="10" fontId="0" fillId="0" borderId="1" xfId="1" applyNumberFormat="1" applyFont="1" applyBorder="1"/>
    <xf numFmtId="10" fontId="0" fillId="0" borderId="21" xfId="1" applyNumberFormat="1" applyFont="1" applyBorder="1"/>
    <xf numFmtId="10" fontId="0" fillId="0" borderId="16" xfId="1" applyNumberFormat="1" applyFont="1" applyBorder="1"/>
    <xf numFmtId="0" fontId="2" fillId="0" borderId="20" xfId="0" applyFont="1" applyBorder="1" applyAlignment="1">
      <alignment horizontal="left"/>
    </xf>
    <xf numFmtId="0" fontId="2" fillId="0" borderId="20" xfId="0" applyFont="1" applyBorder="1" applyAlignment="1">
      <alignment horizontal="center"/>
    </xf>
    <xf numFmtId="10" fontId="12" fillId="0" borderId="0" xfId="0" applyNumberFormat="1" applyFont="1"/>
    <xf numFmtId="14" fontId="4" fillId="0" borderId="0" xfId="0" applyNumberFormat="1" applyFont="1" applyAlignment="1">
      <alignment horizontal="left"/>
    </xf>
    <xf numFmtId="0" fontId="4" fillId="0" borderId="0" xfId="0" applyFont="1" applyAlignment="1">
      <alignment horizontal="right"/>
    </xf>
    <xf numFmtId="0" fontId="4" fillId="0" borderId="16" xfId="0" applyFont="1" applyBorder="1"/>
    <xf numFmtId="0" fontId="4" fillId="0" borderId="19" xfId="0" applyFont="1" applyBorder="1"/>
    <xf numFmtId="0" fontId="4" fillId="0" borderId="17" xfId="0" applyFont="1" applyBorder="1"/>
    <xf numFmtId="0" fontId="4" fillId="0" borderId="18" xfId="0" applyFont="1" applyBorder="1"/>
    <xf numFmtId="4" fontId="4" fillId="0" borderId="21" xfId="0" applyNumberFormat="1" applyFont="1" applyBorder="1"/>
    <xf numFmtId="4" fontId="4" fillId="0" borderId="16" xfId="0" applyNumberFormat="1" applyFont="1" applyBorder="1"/>
    <xf numFmtId="4" fontId="4" fillId="0" borderId="17" xfId="0" applyNumberFormat="1" applyFont="1" applyBorder="1"/>
    <xf numFmtId="0" fontId="4" fillId="0" borderId="21" xfId="0" applyFont="1" applyBorder="1"/>
    <xf numFmtId="0" fontId="4" fillId="0" borderId="0" xfId="0" applyFont="1" applyAlignment="1">
      <alignment horizontal="left"/>
    </xf>
    <xf numFmtId="2" fontId="10" fillId="0" borderId="16" xfId="0" applyNumberFormat="1" applyFont="1" applyBorder="1"/>
    <xf numFmtId="0" fontId="10" fillId="0" borderId="16" xfId="0" applyFont="1" applyBorder="1"/>
    <xf numFmtId="2" fontId="10" fillId="0" borderId="17" xfId="0" applyNumberFormat="1" applyFont="1" applyBorder="1"/>
    <xf numFmtId="2" fontId="10" fillId="0" borderId="0" xfId="0" applyNumberFormat="1" applyFont="1"/>
    <xf numFmtId="14" fontId="5" fillId="0" borderId="2" xfId="0" applyNumberFormat="1" applyFont="1" applyBorder="1" applyAlignment="1">
      <alignment horizontal="left"/>
    </xf>
    <xf numFmtId="0" fontId="0" fillId="0" borderId="13" xfId="0" applyBorder="1"/>
    <xf numFmtId="0" fontId="0" fillId="0" borderId="26" xfId="0" applyBorder="1"/>
    <xf numFmtId="0" fontId="2" fillId="0" borderId="13" xfId="0" applyFont="1" applyBorder="1"/>
    <xf numFmtId="14" fontId="4" fillId="0" borderId="0" xfId="0" applyNumberFormat="1" applyFont="1"/>
    <xf numFmtId="0" fontId="0" fillId="0" borderId="24" xfId="0" applyBorder="1"/>
    <xf numFmtId="0" fontId="0" fillId="0" borderId="25" xfId="0" applyBorder="1"/>
    <xf numFmtId="0" fontId="0" fillId="0" borderId="14" xfId="0" applyBorder="1"/>
    <xf numFmtId="10" fontId="0" fillId="0" borderId="24" xfId="1" applyNumberFormat="1" applyFont="1" applyBorder="1"/>
    <xf numFmtId="0" fontId="2" fillId="0" borderId="18" xfId="0" applyFont="1" applyBorder="1"/>
    <xf numFmtId="170" fontId="2" fillId="3" borderId="0" xfId="0" applyNumberFormat="1" applyFont="1" applyFill="1"/>
    <xf numFmtId="10" fontId="0" fillId="0" borderId="0" xfId="1" applyNumberFormat="1" applyFont="1" applyBorder="1"/>
    <xf numFmtId="0" fontId="15" fillId="0" borderId="0" xfId="0" applyFont="1" applyAlignment="1">
      <alignment horizontal="left"/>
    </xf>
    <xf numFmtId="0" fontId="0" fillId="0" borderId="0" xfId="0" quotePrefix="1" applyAlignment="1">
      <alignment horizontal="left"/>
    </xf>
    <xf numFmtId="0" fontId="24" fillId="0" borderId="0" xfId="0" applyFont="1"/>
    <xf numFmtId="0" fontId="10" fillId="0" borderId="0" xfId="0" applyFont="1"/>
    <xf numFmtId="0" fontId="20" fillId="0" borderId="0" xfId="0" applyFont="1"/>
    <xf numFmtId="0" fontId="19" fillId="2" borderId="7" xfId="0" applyFont="1" applyFill="1" applyBorder="1" applyAlignment="1">
      <alignment horizontal="center" vertical="center"/>
    </xf>
    <xf numFmtId="164" fontId="19" fillId="2" borderId="7" xfId="0" applyNumberFormat="1" applyFont="1" applyFill="1" applyBorder="1" applyAlignment="1">
      <alignment horizontal="center"/>
    </xf>
    <xf numFmtId="164" fontId="19" fillId="2" borderId="0" xfId="0" applyNumberFormat="1" applyFont="1" applyFill="1" applyAlignment="1">
      <alignment horizontal="center" vertical="center"/>
    </xf>
    <xf numFmtId="164" fontId="19" fillId="2" borderId="0" xfId="0" applyNumberFormat="1" applyFont="1" applyFill="1" applyAlignment="1">
      <alignment horizontal="center"/>
    </xf>
    <xf numFmtId="0" fontId="19" fillId="2" borderId="7" xfId="0" applyFont="1" applyFill="1" applyBorder="1" applyAlignment="1">
      <alignment horizontal="center"/>
    </xf>
    <xf numFmtId="0" fontId="19" fillId="2" borderId="7" xfId="0" applyFont="1" applyFill="1" applyBorder="1"/>
    <xf numFmtId="164" fontId="19" fillId="2" borderId="8" xfId="0" applyNumberFormat="1" applyFont="1" applyFill="1" applyBorder="1" applyAlignment="1">
      <alignment horizontal="center"/>
    </xf>
    <xf numFmtId="0" fontId="19" fillId="2" borderId="12" xfId="0" applyFont="1" applyFill="1" applyBorder="1" applyAlignment="1">
      <alignment horizontal="center" vertical="center"/>
    </xf>
    <xf numFmtId="0" fontId="19" fillId="2" borderId="22" xfId="0" applyFont="1" applyFill="1" applyBorder="1" applyAlignment="1">
      <alignment horizontal="center" vertical="center"/>
    </xf>
    <xf numFmtId="0" fontId="19" fillId="2" borderId="23" xfId="0" applyFont="1" applyFill="1" applyBorder="1" applyAlignment="1">
      <alignment horizontal="center" vertical="center"/>
    </xf>
    <xf numFmtId="0" fontId="19" fillId="2" borderId="14" xfId="0" applyFont="1" applyFill="1" applyBorder="1" applyAlignment="1">
      <alignment horizontal="center" vertical="center"/>
    </xf>
    <xf numFmtId="0" fontId="19" fillId="2" borderId="24" xfId="0" applyFont="1" applyFill="1" applyBorder="1" applyAlignment="1">
      <alignment horizontal="center" vertical="center"/>
    </xf>
    <xf numFmtId="0" fontId="19" fillId="2" borderId="25" xfId="0" applyFont="1" applyFill="1" applyBorder="1" applyAlignment="1">
      <alignment horizontal="center" vertical="center"/>
    </xf>
    <xf numFmtId="0" fontId="2" fillId="0" borderId="0" xfId="0" applyFont="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0000FF"/>
      <color rgb="FF0000CC"/>
      <color rgb="FF336699"/>
      <color rgb="FF003366"/>
      <color rgb="FF000066"/>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3" Type="http://schemas.openxmlformats.org/officeDocument/2006/relationships/hyperlink" Target="https://www.marketscreener.com/quote/stock/MONSTER-BEVERAGE-CORPORAT-22497283/graphics/" TargetMode="External"/><Relationship Id="rId2" Type="http://schemas.openxmlformats.org/officeDocument/2006/relationships/hyperlink" Target="https://www.marketscreener.com/quote/stock/PEPSICO-INC-39085159/graphics/" TargetMode="External"/><Relationship Id="rId1" Type="http://schemas.openxmlformats.org/officeDocument/2006/relationships/hyperlink" Target="https://www.marketscreener.com/quote/stock/KEURIG-DR-PEPPER-INC-44644712/" TargetMode="External"/><Relationship Id="rId4" Type="http://schemas.openxmlformats.org/officeDocument/2006/relationships/hyperlink" Target="https://www.marketscreener.com/quote/stock/PEPSICO-INC-39085159/graphic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6C65-304E-4D8D-9106-81B046D3C16F}">
  <sheetPr>
    <tabColor rgb="FF0000FF"/>
  </sheetPr>
  <dimension ref="B2:B9"/>
  <sheetViews>
    <sheetView showGridLines="0" tabSelected="1" workbookViewId="0">
      <selection activeCell="E17" sqref="E17"/>
    </sheetView>
  </sheetViews>
  <sheetFormatPr defaultRowHeight="14.4" x14ac:dyDescent="0.3"/>
  <sheetData>
    <row r="2" spans="2:2" x14ac:dyDescent="0.3">
      <c r="B2" s="18" t="s">
        <v>406</v>
      </c>
    </row>
    <row r="3" spans="2:2" x14ac:dyDescent="0.3">
      <c r="B3" s="20" t="s">
        <v>407</v>
      </c>
    </row>
    <row r="4" spans="2:2" x14ac:dyDescent="0.3">
      <c r="B4" t="s">
        <v>408</v>
      </c>
    </row>
    <row r="5" spans="2:2" x14ac:dyDescent="0.3">
      <c r="B5" s="178" t="s">
        <v>410</v>
      </c>
    </row>
    <row r="6" spans="2:2" x14ac:dyDescent="0.3">
      <c r="B6" s="177" t="s">
        <v>409</v>
      </c>
    </row>
    <row r="8" spans="2:2" x14ac:dyDescent="0.3">
      <c r="B8" s="18" t="s">
        <v>411</v>
      </c>
    </row>
    <row r="9" spans="2:2" x14ac:dyDescent="0.3">
      <c r="B9" t="s">
        <v>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0DA2-7FCC-4B46-9837-8E6EA6DDE423}">
  <dimension ref="A1:M51"/>
  <sheetViews>
    <sheetView showGridLines="0" workbookViewId="0">
      <selection activeCell="D30" sqref="D30"/>
    </sheetView>
  </sheetViews>
  <sheetFormatPr defaultRowHeight="14.4" x14ac:dyDescent="0.3"/>
  <cols>
    <col min="1" max="1" width="1.88671875" customWidth="1"/>
    <col min="2" max="2" width="43.77734375" bestFit="1" customWidth="1"/>
    <col min="4" max="12" width="11.77734375" customWidth="1"/>
  </cols>
  <sheetData>
    <row r="1" spans="1:13" ht="15" thickBot="1" x14ac:dyDescent="0.35"/>
    <row r="2" spans="1:13" ht="15" thickBot="1" x14ac:dyDescent="0.35">
      <c r="A2" t="s">
        <v>7</v>
      </c>
      <c r="B2" s="179" t="s">
        <v>0</v>
      </c>
      <c r="C2" s="179" t="s">
        <v>1</v>
      </c>
      <c r="D2" s="183" t="s">
        <v>2</v>
      </c>
      <c r="E2" s="183"/>
      <c r="F2" s="183"/>
      <c r="G2" s="183"/>
      <c r="H2" s="183" t="s">
        <v>3</v>
      </c>
      <c r="I2" s="183"/>
      <c r="J2" s="183"/>
      <c r="K2" s="183"/>
      <c r="L2" s="183"/>
    </row>
    <row r="3" spans="1:13" ht="15" thickBot="1" x14ac:dyDescent="0.35">
      <c r="B3" s="179"/>
      <c r="C3" s="179"/>
      <c r="D3" s="72">
        <v>2021</v>
      </c>
      <c r="E3" s="72">
        <f>D3+1</f>
        <v>2022</v>
      </c>
      <c r="F3" s="72">
        <f t="shared" ref="F3:L3" si="0">E3+1</f>
        <v>2023</v>
      </c>
      <c r="G3" s="72">
        <f t="shared" si="0"/>
        <v>2024</v>
      </c>
      <c r="H3" s="72">
        <f t="shared" si="0"/>
        <v>2025</v>
      </c>
      <c r="I3" s="72">
        <f t="shared" si="0"/>
        <v>2026</v>
      </c>
      <c r="J3" s="72">
        <f t="shared" si="0"/>
        <v>2027</v>
      </c>
      <c r="K3" s="72">
        <f t="shared" si="0"/>
        <v>2028</v>
      </c>
      <c r="L3" s="72">
        <f t="shared" si="0"/>
        <v>2029</v>
      </c>
      <c r="M3" s="1"/>
    </row>
    <row r="4" spans="1:13" x14ac:dyDescent="0.3">
      <c r="G4" s="10"/>
    </row>
    <row r="5" spans="1:13" x14ac:dyDescent="0.3">
      <c r="B5" s="2" t="s">
        <v>16</v>
      </c>
      <c r="C5" s="18" t="s">
        <v>151</v>
      </c>
      <c r="D5" s="5">
        <v>7193</v>
      </c>
      <c r="E5" s="5">
        <v>7523</v>
      </c>
      <c r="F5" s="5">
        <v>8078</v>
      </c>
      <c r="G5" s="8">
        <v>8122</v>
      </c>
      <c r="H5" s="6">
        <f>G5*(1+H8)</f>
        <v>9391.9357306263919</v>
      </c>
      <c r="I5" s="6">
        <f t="shared" ref="I5:L5" si="1">H5*(1+I8)</f>
        <v>10753.726881260849</v>
      </c>
      <c r="J5" s="6">
        <f t="shared" si="1"/>
        <v>12190.791148828757</v>
      </c>
      <c r="K5" s="6">
        <f t="shared" si="1"/>
        <v>13681.38776560971</v>
      </c>
      <c r="L5" s="6">
        <f t="shared" si="1"/>
        <v>15323.154297482877</v>
      </c>
    </row>
    <row r="6" spans="1:13" x14ac:dyDescent="0.3">
      <c r="B6" s="3" t="s">
        <v>4</v>
      </c>
      <c r="D6" s="3"/>
      <c r="E6" s="49">
        <f>E5/D5-1</f>
        <v>4.5877936883080839E-2</v>
      </c>
      <c r="F6" s="49">
        <f t="shared" ref="F6:G6" si="2">F5/E5-1</f>
        <v>7.3773760467898519E-2</v>
      </c>
      <c r="G6" s="50">
        <f t="shared" si="2"/>
        <v>5.4468927952462387E-3</v>
      </c>
      <c r="H6" s="56"/>
      <c r="I6" s="56"/>
      <c r="J6" s="56"/>
      <c r="K6" s="56"/>
      <c r="L6" s="56"/>
    </row>
    <row r="7" spans="1:13" ht="16.2" x14ac:dyDescent="0.3">
      <c r="B7" s="3" t="s">
        <v>398</v>
      </c>
      <c r="D7" s="52">
        <v>-0.01</v>
      </c>
      <c r="E7" s="52">
        <v>0.124</v>
      </c>
      <c r="F7" s="52">
        <v>0.12</v>
      </c>
      <c r="G7" s="53">
        <v>0.16</v>
      </c>
      <c r="H7" s="56"/>
      <c r="I7" s="56"/>
      <c r="J7" s="56"/>
      <c r="K7" s="56"/>
      <c r="L7" s="56"/>
    </row>
    <row r="8" spans="1:13" x14ac:dyDescent="0.3">
      <c r="B8" s="3" t="s">
        <v>6</v>
      </c>
      <c r="D8" s="3"/>
      <c r="E8" s="49">
        <f>E6+E7</f>
        <v>0.16987793688308084</v>
      </c>
      <c r="F8" s="49">
        <f t="shared" ref="F8:G8" si="3">F6+F7</f>
        <v>0.19377376046789851</v>
      </c>
      <c r="G8" s="50">
        <f t="shared" si="3"/>
        <v>0.16544689279524624</v>
      </c>
      <c r="H8" s="54">
        <f>G8-(($G$8-$L$8)/5)</f>
        <v>0.15635751423619698</v>
      </c>
      <c r="I8" s="54">
        <f t="shared" ref="I8:K8" si="4">H8-(($G$8-$L$8)/4)</f>
        <v>0.14499579103738541</v>
      </c>
      <c r="J8" s="54">
        <f t="shared" si="4"/>
        <v>0.13363406783857384</v>
      </c>
      <c r="K8" s="54">
        <f t="shared" si="4"/>
        <v>0.12227234463976228</v>
      </c>
      <c r="L8" s="55">
        <v>0.12</v>
      </c>
    </row>
    <row r="9" spans="1:13" x14ac:dyDescent="0.3">
      <c r="G9" s="10"/>
      <c r="H9" s="17"/>
      <c r="I9" s="17"/>
      <c r="J9" s="17"/>
      <c r="K9" s="17"/>
      <c r="L9" s="17"/>
    </row>
    <row r="10" spans="1:13" x14ac:dyDescent="0.3">
      <c r="B10" s="2" t="s">
        <v>8</v>
      </c>
      <c r="D10" s="5">
        <v>4143</v>
      </c>
      <c r="E10" s="5">
        <v>4910</v>
      </c>
      <c r="F10" s="5">
        <v>5830</v>
      </c>
      <c r="G10" s="8">
        <v>6459</v>
      </c>
      <c r="H10" s="6">
        <f>G10*(1+H13)</f>
        <v>7933.668360205832</v>
      </c>
      <c r="I10" s="6">
        <f t="shared" ref="I10:L10" si="5">H10*(1+I13)</f>
        <v>9589.6957531563785</v>
      </c>
      <c r="J10" s="6">
        <f t="shared" si="5"/>
        <v>11403.645098382072</v>
      </c>
      <c r="K10" s="6">
        <f t="shared" si="5"/>
        <v>13337.452935442869</v>
      </c>
      <c r="L10" s="6">
        <f t="shared" si="5"/>
        <v>15338.070875759298</v>
      </c>
    </row>
    <row r="11" spans="1:13" x14ac:dyDescent="0.3">
      <c r="B11" s="3" t="s">
        <v>4</v>
      </c>
      <c r="E11" s="49">
        <f>E10/D10-1</f>
        <v>0.18513154718802793</v>
      </c>
      <c r="F11" s="49">
        <f t="shared" ref="F11" si="6">F10/E10-1</f>
        <v>0.18737270875763756</v>
      </c>
      <c r="G11" s="50">
        <f t="shared" ref="G11" si="7">G10/F10-1</f>
        <v>0.10789022298456263</v>
      </c>
      <c r="H11" s="56"/>
      <c r="I11" s="56"/>
      <c r="J11" s="56"/>
      <c r="K11" s="56"/>
      <c r="L11" s="56"/>
    </row>
    <row r="12" spans="1:13" x14ac:dyDescent="0.3">
      <c r="B12" s="3" t="s">
        <v>5</v>
      </c>
      <c r="E12" s="52">
        <v>0.06</v>
      </c>
      <c r="F12" s="52">
        <v>0.03</v>
      </c>
      <c r="G12" s="53">
        <v>0.14000000000000001</v>
      </c>
      <c r="H12" s="56"/>
      <c r="I12" s="56"/>
      <c r="J12" s="56"/>
      <c r="K12" s="56"/>
      <c r="L12" s="56"/>
    </row>
    <row r="13" spans="1:13" x14ac:dyDescent="0.3">
      <c r="B13" s="3" t="s">
        <v>6</v>
      </c>
      <c r="E13" s="49">
        <f>E11+E12</f>
        <v>0.24513154718802793</v>
      </c>
      <c r="F13" s="49">
        <f t="shared" ref="F13" si="8">F11+F12</f>
        <v>0.21737270875763756</v>
      </c>
      <c r="G13" s="50">
        <f t="shared" ref="G13" si="9">G11+G12</f>
        <v>0.24789022298456265</v>
      </c>
      <c r="H13" s="54">
        <f>G13-(($G$13-$L$13)/5)</f>
        <v>0.22831217838765011</v>
      </c>
      <c r="I13" s="54">
        <f t="shared" ref="I13:K13" si="10">H13-(($G$13-$L$13)/5)</f>
        <v>0.20873413379073757</v>
      </c>
      <c r="J13" s="54">
        <f t="shared" si="10"/>
        <v>0.18915608919382504</v>
      </c>
      <c r="K13" s="54">
        <f t="shared" si="10"/>
        <v>0.1695780445969125</v>
      </c>
      <c r="L13" s="55">
        <v>0.15</v>
      </c>
    </row>
    <row r="14" spans="1:13" x14ac:dyDescent="0.3">
      <c r="B14" s="3"/>
      <c r="G14" s="10"/>
      <c r="H14" s="17"/>
      <c r="I14" s="17"/>
      <c r="J14" s="17"/>
      <c r="K14" s="17"/>
      <c r="L14" s="17"/>
    </row>
    <row r="15" spans="1:13" x14ac:dyDescent="0.3">
      <c r="B15" t="s">
        <v>9</v>
      </c>
      <c r="D15" s="5">
        <v>13190</v>
      </c>
      <c r="E15" s="5">
        <v>15674</v>
      </c>
      <c r="F15" s="5">
        <v>16774</v>
      </c>
      <c r="G15" s="8">
        <v>18649</v>
      </c>
      <c r="H15" s="6">
        <f>G15*(1+H18)</f>
        <v>20577.756203886969</v>
      </c>
      <c r="I15" s="6">
        <f t="shared" ref="I15:L15" si="11">H15*(1+I18)</f>
        <v>22534.044008892626</v>
      </c>
      <c r="J15" s="6">
        <f t="shared" si="11"/>
        <v>24488.017258164498</v>
      </c>
      <c r="K15" s="6">
        <f t="shared" si="11"/>
        <v>26406.801004150249</v>
      </c>
      <c r="L15" s="6">
        <f t="shared" si="11"/>
        <v>28255.277074440768</v>
      </c>
    </row>
    <row r="16" spans="1:13" x14ac:dyDescent="0.3">
      <c r="B16" s="3" t="s">
        <v>4</v>
      </c>
      <c r="E16" s="49">
        <f>E15/D15-1</f>
        <v>0.18832448824867321</v>
      </c>
      <c r="F16" s="49">
        <f t="shared" ref="F16" si="12">F15/E15-1</f>
        <v>7.0179915784100988E-2</v>
      </c>
      <c r="G16" s="50">
        <f t="shared" ref="G16" si="13">G15/F15-1</f>
        <v>0.11178013592464531</v>
      </c>
      <c r="H16" s="56"/>
      <c r="I16" s="56"/>
      <c r="J16" s="56"/>
      <c r="K16" s="56"/>
      <c r="L16" s="56"/>
    </row>
    <row r="17" spans="2:12" x14ac:dyDescent="0.3">
      <c r="B17" s="3" t="s">
        <v>5</v>
      </c>
      <c r="E17" s="52">
        <v>-0.06</v>
      </c>
      <c r="F17" s="52">
        <v>0</v>
      </c>
      <c r="G17" s="53">
        <v>0</v>
      </c>
      <c r="H17" s="56"/>
      <c r="I17" s="56"/>
      <c r="J17" s="56"/>
      <c r="K17" s="56"/>
      <c r="L17" s="56"/>
    </row>
    <row r="18" spans="2:12" x14ac:dyDescent="0.3">
      <c r="B18" s="3" t="s">
        <v>6</v>
      </c>
      <c r="E18" s="49">
        <f>E16+E17</f>
        <v>0.12832448824867321</v>
      </c>
      <c r="F18" s="49">
        <f t="shared" ref="F18" si="14">F16+F17</f>
        <v>7.0179915784100988E-2</v>
      </c>
      <c r="G18" s="50">
        <f t="shared" ref="G18" si="15">G16+G17</f>
        <v>0.11178013592464531</v>
      </c>
      <c r="H18" s="54">
        <f>G18-(($G$18-$L$18)/5)</f>
        <v>0.10342410873971625</v>
      </c>
      <c r="I18" s="54">
        <f t="shared" ref="I18:K18" si="16">H18-(($G$18-$L$18)/5)</f>
        <v>9.5068081554787187E-2</v>
      </c>
      <c r="J18" s="54">
        <f t="shared" si="16"/>
        <v>8.6712054369858127E-2</v>
      </c>
      <c r="K18" s="54">
        <f t="shared" si="16"/>
        <v>7.8356027184929067E-2</v>
      </c>
      <c r="L18" s="55">
        <v>7.0000000000000007E-2</v>
      </c>
    </row>
    <row r="19" spans="2:12" x14ac:dyDescent="0.3">
      <c r="B19" s="3"/>
      <c r="G19" s="10"/>
      <c r="H19" s="17"/>
      <c r="I19" s="17"/>
      <c r="J19" s="17"/>
      <c r="K19" s="17"/>
      <c r="L19" s="17"/>
    </row>
    <row r="20" spans="2:12" x14ac:dyDescent="0.3">
      <c r="B20" t="s">
        <v>10</v>
      </c>
      <c r="D20" s="5">
        <v>5291</v>
      </c>
      <c r="E20" s="5">
        <v>5445</v>
      </c>
      <c r="F20" s="5">
        <v>5455</v>
      </c>
      <c r="G20" s="8">
        <v>5546</v>
      </c>
      <c r="H20" s="6">
        <f>G20*(1+H23)</f>
        <v>5830.7624454628785</v>
      </c>
      <c r="I20" s="6">
        <f t="shared" ref="I20:L20" si="17">H20*(1+I23)</f>
        <v>6157.3385866108665</v>
      </c>
      <c r="J20" s="6">
        <f t="shared" si="17"/>
        <v>6530.9214192434229</v>
      </c>
      <c r="K20" s="6">
        <f t="shared" si="17"/>
        <v>6957.6282392310586</v>
      </c>
      <c r="L20" s="6">
        <f t="shared" si="17"/>
        <v>7444.6622159772332</v>
      </c>
    </row>
    <row r="21" spans="2:12" x14ac:dyDescent="0.3">
      <c r="B21" s="3" t="s">
        <v>4</v>
      </c>
      <c r="E21" s="49">
        <f>E20/D20-1</f>
        <v>2.9106029106028997E-2</v>
      </c>
      <c r="F21" s="49">
        <f t="shared" ref="F21" si="18">F20/E20-1</f>
        <v>1.8365472910928382E-3</v>
      </c>
      <c r="G21" s="50">
        <f t="shared" ref="G21" si="19">G20/F20-1</f>
        <v>1.668194317140248E-2</v>
      </c>
      <c r="H21" s="56"/>
      <c r="I21" s="56"/>
      <c r="J21" s="56"/>
      <c r="K21" s="56"/>
      <c r="L21" s="56"/>
    </row>
    <row r="22" spans="2:12" x14ac:dyDescent="0.3">
      <c r="B22" s="3" t="s">
        <v>5</v>
      </c>
      <c r="E22" s="52">
        <v>0.08</v>
      </c>
      <c r="F22" s="52">
        <v>0.04</v>
      </c>
      <c r="G22" s="53">
        <v>0.03</v>
      </c>
      <c r="H22" s="56"/>
      <c r="I22" s="56"/>
      <c r="J22" s="56"/>
      <c r="K22" s="56"/>
      <c r="L22" s="56"/>
    </row>
    <row r="23" spans="2:12" x14ac:dyDescent="0.3">
      <c r="B23" s="3" t="s">
        <v>6</v>
      </c>
      <c r="E23" s="49">
        <f>E21+E22</f>
        <v>0.109106029106029</v>
      </c>
      <c r="F23" s="49">
        <f t="shared" ref="F23" si="20">F21+F22</f>
        <v>4.1836547291092839E-2</v>
      </c>
      <c r="G23" s="50">
        <f t="shared" ref="G23" si="21">G21+G22</f>
        <v>4.6681943171402479E-2</v>
      </c>
      <c r="H23" s="54">
        <f>G23-(($G$23-$L$23)/5)</f>
        <v>5.1345554537121987E-2</v>
      </c>
      <c r="I23" s="54">
        <f t="shared" ref="I23:K23" si="22">H23-(($G$23-$L$23)/5)</f>
        <v>5.6009165902841496E-2</v>
      </c>
      <c r="J23" s="54">
        <f t="shared" si="22"/>
        <v>6.0672777268561004E-2</v>
      </c>
      <c r="K23" s="54">
        <f t="shared" si="22"/>
        <v>6.5336388634280512E-2</v>
      </c>
      <c r="L23" s="55">
        <v>7.0000000000000007E-2</v>
      </c>
    </row>
    <row r="24" spans="2:12" x14ac:dyDescent="0.3">
      <c r="G24" s="10"/>
      <c r="H24" s="17"/>
      <c r="I24" s="17"/>
      <c r="J24" s="17"/>
      <c r="K24" s="17"/>
      <c r="L24" s="17"/>
    </row>
    <row r="25" spans="2:12" x14ac:dyDescent="0.3">
      <c r="B25" t="s">
        <v>11</v>
      </c>
      <c r="D25" s="5">
        <v>2805</v>
      </c>
      <c r="E25" s="5">
        <v>2843</v>
      </c>
      <c r="F25" s="5">
        <v>3064</v>
      </c>
      <c r="G25" s="8">
        <v>3129</v>
      </c>
      <c r="H25" s="6">
        <f>G25*(1+H28)</f>
        <v>3163.3291331592695</v>
      </c>
      <c r="I25" s="6">
        <f t="shared" ref="I25:L25" si="23">H25*(1+I28)</f>
        <v>3228.900073076114</v>
      </c>
      <c r="J25" s="6">
        <f t="shared" si="23"/>
        <v>3327.3351572882207</v>
      </c>
      <c r="K25" s="6">
        <f t="shared" si="23"/>
        <v>3461.2365065813883</v>
      </c>
      <c r="L25" s="6">
        <f t="shared" si="23"/>
        <v>3634.2983319104578</v>
      </c>
    </row>
    <row r="26" spans="2:12" x14ac:dyDescent="0.3">
      <c r="B26" s="3" t="s">
        <v>4</v>
      </c>
      <c r="E26" s="49">
        <f>E25/D25-1</f>
        <v>1.3547237076648733E-2</v>
      </c>
      <c r="F26" s="49">
        <f t="shared" ref="F26" si="24">F25/E25-1</f>
        <v>7.773478719662319E-2</v>
      </c>
      <c r="G26" s="50">
        <f t="shared" ref="G26" si="25">G25/F25-1</f>
        <v>2.1214099216710247E-2</v>
      </c>
      <c r="H26" s="17"/>
      <c r="I26" s="17"/>
      <c r="J26" s="17"/>
      <c r="K26" s="17"/>
      <c r="L26" s="17"/>
    </row>
    <row r="27" spans="2:12" x14ac:dyDescent="0.3">
      <c r="B27" s="3" t="s">
        <v>5</v>
      </c>
      <c r="E27" s="52">
        <v>0.12</v>
      </c>
      <c r="F27" s="52">
        <v>0</v>
      </c>
      <c r="G27" s="53">
        <v>-0.02</v>
      </c>
      <c r="H27" s="17"/>
      <c r="I27" s="17"/>
      <c r="J27" s="17"/>
      <c r="K27" s="17"/>
      <c r="L27" s="17"/>
    </row>
    <row r="28" spans="2:12" x14ac:dyDescent="0.3">
      <c r="B28" s="3" t="s">
        <v>6</v>
      </c>
      <c r="E28" s="49">
        <f>E26+E27</f>
        <v>0.13354723707664873</v>
      </c>
      <c r="F28" s="49">
        <f t="shared" ref="F28" si="26">F26+F27</f>
        <v>7.773478719662319E-2</v>
      </c>
      <c r="G28" s="50">
        <f t="shared" ref="G28" si="27">G26+G27</f>
        <v>1.2140992167102467E-3</v>
      </c>
      <c r="H28" s="54">
        <f>G28-(($G$28-$L$28)/5)</f>
        <v>1.0971279373368198E-2</v>
      </c>
      <c r="I28" s="54">
        <f t="shared" ref="I28:K28" si="28">H28-(($G$28-$L$28)/5)</f>
        <v>2.0728459530026149E-2</v>
      </c>
      <c r="J28" s="54">
        <f t="shared" si="28"/>
        <v>3.04856396866841E-2</v>
      </c>
      <c r="K28" s="54">
        <f t="shared" si="28"/>
        <v>4.0242819843342048E-2</v>
      </c>
      <c r="L28" s="55">
        <v>0.05</v>
      </c>
    </row>
    <row r="29" spans="2:12" x14ac:dyDescent="0.3">
      <c r="G29" s="10"/>
      <c r="H29" s="17"/>
      <c r="I29" s="17"/>
      <c r="J29" s="17"/>
      <c r="K29" s="17"/>
      <c r="L29" s="17"/>
    </row>
    <row r="30" spans="2:12" x14ac:dyDescent="0.3">
      <c r="B30" t="s">
        <v>12</v>
      </c>
      <c r="D30" s="5">
        <v>7203</v>
      </c>
      <c r="E30" s="5">
        <v>7891</v>
      </c>
      <c r="F30" s="5">
        <v>7860</v>
      </c>
      <c r="G30" s="8">
        <v>6223</v>
      </c>
      <c r="H30" s="6">
        <f t="shared" ref="H30:L30" si="29">G30*(1+H33)</f>
        <v>6022.4482904265751</v>
      </c>
      <c r="I30" s="6">
        <f t="shared" si="29"/>
        <v>5571.9174805036464</v>
      </c>
      <c r="J30" s="6">
        <f t="shared" si="29"/>
        <v>5023.4443025177852</v>
      </c>
      <c r="K30" s="6">
        <f t="shared" si="29"/>
        <v>4679.3863535135943</v>
      </c>
      <c r="L30" s="6">
        <f t="shared" si="29"/>
        <v>4302.3303009220263</v>
      </c>
    </row>
    <row r="31" spans="2:12" x14ac:dyDescent="0.3">
      <c r="B31" s="3" t="s">
        <v>4</v>
      </c>
      <c r="E31" s="49">
        <f>E30/D30-1</f>
        <v>9.5515757323337391E-2</v>
      </c>
      <c r="F31" s="49">
        <f t="shared" ref="F31" si="30">F30/E30-1</f>
        <v>-3.9285261690533702E-3</v>
      </c>
      <c r="G31" s="50">
        <f t="shared" ref="G31" si="31">G30/F30-1</f>
        <v>-0.20826972010178113</v>
      </c>
      <c r="H31" s="17"/>
      <c r="I31" s="17"/>
      <c r="J31" s="17"/>
      <c r="K31" s="17"/>
      <c r="L31" s="17"/>
    </row>
    <row r="32" spans="2:12" ht="16.2" x14ac:dyDescent="0.3">
      <c r="B32" s="3" t="s">
        <v>399</v>
      </c>
      <c r="E32" s="52"/>
      <c r="F32" s="52"/>
      <c r="G32" s="53">
        <v>0.02</v>
      </c>
      <c r="H32" s="17"/>
      <c r="I32" s="17"/>
      <c r="J32" s="17"/>
      <c r="K32" s="17"/>
      <c r="L32" s="17"/>
    </row>
    <row r="33" spans="1:13" ht="16.2" x14ac:dyDescent="0.3">
      <c r="B33" s="3" t="s">
        <v>400</v>
      </c>
      <c r="E33" s="49">
        <f>E31+E32</f>
        <v>9.5515757323337391E-2</v>
      </c>
      <c r="F33" s="49">
        <f t="shared" ref="F33" si="32">F31+F32</f>
        <v>-3.9285261690533702E-3</v>
      </c>
      <c r="G33" s="50">
        <f t="shared" ref="G33" si="33">G31+G32</f>
        <v>-0.18826972010178114</v>
      </c>
      <c r="H33" s="51">
        <f>AVERAGE(E33:G33)</f>
        <v>-3.2227496315832375E-2</v>
      </c>
      <c r="I33" s="51">
        <f t="shared" ref="I33:L33" si="34">AVERAGE(F33:H33)</f>
        <v>-7.4808580862222293E-2</v>
      </c>
      <c r="J33" s="51">
        <f t="shared" si="34"/>
        <v>-9.8435265759945267E-2</v>
      </c>
      <c r="K33" s="51">
        <f t="shared" si="34"/>
        <v>-6.8490447645999972E-2</v>
      </c>
      <c r="L33" s="51">
        <f t="shared" si="34"/>
        <v>-8.0578098089389191E-2</v>
      </c>
      <c r="M33" s="175" t="s">
        <v>401</v>
      </c>
    </row>
    <row r="34" spans="1:13" x14ac:dyDescent="0.3">
      <c r="B34" s="3"/>
      <c r="G34" s="10"/>
      <c r="H34" s="17"/>
      <c r="I34" s="17"/>
      <c r="J34" s="17"/>
      <c r="K34" s="17"/>
      <c r="L34" s="17"/>
    </row>
    <row r="35" spans="1:13" x14ac:dyDescent="0.3">
      <c r="B35" t="s">
        <v>13</v>
      </c>
      <c r="D35" s="5">
        <v>85</v>
      </c>
      <c r="E35" s="5">
        <v>94</v>
      </c>
      <c r="F35" s="5">
        <v>126</v>
      </c>
      <c r="G35" s="8">
        <v>97</v>
      </c>
      <c r="H35" s="6">
        <f>G35*(1+H38)</f>
        <v>103.98882266854733</v>
      </c>
      <c r="I35" s="6">
        <f t="shared" ref="I35:L35" si="35">H35*(1+I38)</f>
        <v>110.30844942409475</v>
      </c>
      <c r="J35" s="6">
        <f t="shared" si="35"/>
        <v>106.72942417827791</v>
      </c>
      <c r="K35" s="6">
        <f t="shared" si="35"/>
        <v>110.30045832041966</v>
      </c>
      <c r="L35" s="6">
        <f t="shared" si="35"/>
        <v>112.57210802599266</v>
      </c>
    </row>
    <row r="36" spans="1:13" x14ac:dyDescent="0.3">
      <c r="B36" s="3" t="s">
        <v>4</v>
      </c>
      <c r="D36" s="4"/>
      <c r="E36" s="49">
        <f>E35/D35-1</f>
        <v>0.10588235294117654</v>
      </c>
      <c r="F36" s="49">
        <f t="shared" ref="F36" si="36">F35/E35-1</f>
        <v>0.34042553191489366</v>
      </c>
      <c r="G36" s="50">
        <f t="shared" ref="G36" si="37">G35/F35-1</f>
        <v>-0.23015873015873012</v>
      </c>
      <c r="H36" s="17"/>
      <c r="I36" s="17"/>
      <c r="J36" s="17"/>
      <c r="K36" s="17"/>
      <c r="L36" s="17"/>
    </row>
    <row r="37" spans="1:13" x14ac:dyDescent="0.3">
      <c r="B37" s="3" t="s">
        <v>5</v>
      </c>
      <c r="E37" s="7">
        <v>0</v>
      </c>
      <c r="F37" s="7">
        <v>0</v>
      </c>
      <c r="G37" s="9">
        <v>0</v>
      </c>
      <c r="H37" s="17"/>
      <c r="I37" s="17"/>
      <c r="J37" s="17"/>
      <c r="K37" s="17"/>
      <c r="L37" s="17"/>
    </row>
    <row r="38" spans="1:13" x14ac:dyDescent="0.3">
      <c r="B38" s="3" t="s">
        <v>6</v>
      </c>
      <c r="E38" s="49">
        <f>E36+E37</f>
        <v>0.10588235294117654</v>
      </c>
      <c r="F38" s="49">
        <f t="shared" ref="F38" si="38">F36+F37</f>
        <v>0.34042553191489366</v>
      </c>
      <c r="G38" s="50">
        <f t="shared" ref="G38" si="39">G36+G37</f>
        <v>-0.23015873015873012</v>
      </c>
      <c r="H38" s="51">
        <f>AVERAGE(E38:G38)</f>
        <v>7.2049718232446699E-2</v>
      </c>
      <c r="I38" s="51">
        <f t="shared" ref="I38:L38" si="40">AVERAGE(F38:H38)</f>
        <v>6.0772173329536751E-2</v>
      </c>
      <c r="J38" s="51">
        <f t="shared" si="40"/>
        <v>-3.2445612865582223E-2</v>
      </c>
      <c r="K38" s="51">
        <f t="shared" si="40"/>
        <v>3.3458759565467074E-2</v>
      </c>
      <c r="L38" s="51">
        <f t="shared" si="40"/>
        <v>2.0595106676473868E-2</v>
      </c>
    </row>
    <row r="39" spans="1:13" x14ac:dyDescent="0.3">
      <c r="B39" s="3"/>
      <c r="G39" s="10"/>
      <c r="H39" s="17"/>
      <c r="I39" s="17"/>
      <c r="J39" s="17"/>
      <c r="K39" s="17"/>
      <c r="L39" s="17"/>
    </row>
    <row r="40" spans="1:13" x14ac:dyDescent="0.3">
      <c r="B40" s="11" t="s">
        <v>15</v>
      </c>
      <c r="C40" s="12"/>
      <c r="D40" s="80">
        <f>SUM(D5,D10,D15,D20,D25,D30,D35)</f>
        <v>39910</v>
      </c>
      <c r="E40" s="80">
        <f t="shared" ref="E40:L40" si="41">SUM(E5,E10,E15,E20,E25,E30,E35)</f>
        <v>44380</v>
      </c>
      <c r="F40" s="80">
        <f t="shared" si="41"/>
        <v>47187</v>
      </c>
      <c r="G40" s="81">
        <f t="shared" si="41"/>
        <v>48225</v>
      </c>
      <c r="H40" s="80">
        <f t="shared" si="41"/>
        <v>53023.888986436476</v>
      </c>
      <c r="I40" s="80">
        <f t="shared" si="41"/>
        <v>57945.931232924573</v>
      </c>
      <c r="J40" s="80">
        <f t="shared" si="41"/>
        <v>63070.883808603037</v>
      </c>
      <c r="K40" s="80">
        <f t="shared" si="41"/>
        <v>68634.19326284928</v>
      </c>
      <c r="L40" s="80">
        <f t="shared" si="41"/>
        <v>74410.365204518661</v>
      </c>
    </row>
    <row r="41" spans="1:13" x14ac:dyDescent="0.3">
      <c r="B41" s="3"/>
      <c r="G41" s="10"/>
      <c r="H41" s="17"/>
      <c r="I41" s="17"/>
      <c r="J41" s="17"/>
      <c r="K41" s="17"/>
      <c r="L41" s="17"/>
    </row>
    <row r="42" spans="1:13" x14ac:dyDescent="0.3">
      <c r="B42" t="s">
        <v>14</v>
      </c>
      <c r="D42" s="5">
        <v>-1255</v>
      </c>
      <c r="E42" s="5">
        <v>-1376</v>
      </c>
      <c r="F42" s="5">
        <v>-1433</v>
      </c>
      <c r="G42" s="8">
        <v>-1164</v>
      </c>
      <c r="H42" s="6">
        <f>-H40*H43</f>
        <v>-1511.3637573977974</v>
      </c>
      <c r="I42" s="6">
        <f t="shared" ref="I42:L42" si="42">-I40*I43</f>
        <v>-1651.6589414350497</v>
      </c>
      <c r="J42" s="6">
        <f t="shared" si="42"/>
        <v>-1797.7377698522612</v>
      </c>
      <c r="K42" s="6">
        <f t="shared" si="42"/>
        <v>-1956.3112815478501</v>
      </c>
      <c r="L42" s="6">
        <f t="shared" si="42"/>
        <v>-2120.9521084658886</v>
      </c>
    </row>
    <row r="43" spans="1:13" x14ac:dyDescent="0.3">
      <c r="B43" s="3" t="s">
        <v>18</v>
      </c>
      <c r="D43" s="49">
        <f>-D42/D40</f>
        <v>3.1445752944124279E-2</v>
      </c>
      <c r="E43" s="49">
        <f t="shared" ref="E43:G43" si="43">-E42/E40</f>
        <v>3.1004957187922486E-2</v>
      </c>
      <c r="F43" s="49">
        <f t="shared" si="43"/>
        <v>3.0368533706317417E-2</v>
      </c>
      <c r="G43" s="50">
        <f t="shared" si="43"/>
        <v>2.4136858475894245E-2</v>
      </c>
      <c r="H43" s="51">
        <f>AVERAGE($E$43:$G$43)</f>
        <v>2.8503449790044721E-2</v>
      </c>
      <c r="I43" s="51">
        <f t="shared" ref="I43:L43" si="44">AVERAGE($E$43:$G$43)</f>
        <v>2.8503449790044721E-2</v>
      </c>
      <c r="J43" s="51">
        <f t="shared" si="44"/>
        <v>2.8503449790044721E-2</v>
      </c>
      <c r="K43" s="51">
        <f t="shared" si="44"/>
        <v>2.8503449790044721E-2</v>
      </c>
      <c r="L43" s="51">
        <f t="shared" si="44"/>
        <v>2.8503449790044721E-2</v>
      </c>
    </row>
    <row r="44" spans="1:13" ht="15" thickBot="1" x14ac:dyDescent="0.35">
      <c r="G44" s="10"/>
      <c r="H44" s="17"/>
      <c r="I44" s="17"/>
      <c r="J44" s="17"/>
      <c r="K44" s="17"/>
      <c r="L44" s="17"/>
    </row>
    <row r="45" spans="1:13" ht="15" thickBot="1" x14ac:dyDescent="0.35">
      <c r="A45" t="s">
        <v>7</v>
      </c>
      <c r="B45" s="13" t="s">
        <v>17</v>
      </c>
      <c r="C45" s="14"/>
      <c r="D45" s="15">
        <f>SUM(D5,D10,D15,D20,D25,D30,D35,D42)</f>
        <v>38655</v>
      </c>
      <c r="E45" s="15">
        <f t="shared" ref="E45:L45" si="45">SUM(E5,E10,E15,E20,E25,E30,E35,E42)</f>
        <v>43004</v>
      </c>
      <c r="F45" s="15">
        <f t="shared" si="45"/>
        <v>45754</v>
      </c>
      <c r="G45" s="16">
        <f t="shared" si="45"/>
        <v>47061</v>
      </c>
      <c r="H45" s="15">
        <f t="shared" si="45"/>
        <v>51512.525229038678</v>
      </c>
      <c r="I45" s="15">
        <f t="shared" si="45"/>
        <v>56294.27229148952</v>
      </c>
      <c r="J45" s="15">
        <f t="shared" si="45"/>
        <v>61273.146038750776</v>
      </c>
      <c r="K45" s="15">
        <f t="shared" si="45"/>
        <v>66677.881981301427</v>
      </c>
      <c r="L45" s="15">
        <f t="shared" si="45"/>
        <v>72289.413096052769</v>
      </c>
    </row>
    <row r="46" spans="1:13" ht="15" thickTop="1" x14ac:dyDescent="0.3"/>
    <row r="47" spans="1:13" x14ac:dyDescent="0.3">
      <c r="B47" s="176" t="s">
        <v>375</v>
      </c>
    </row>
    <row r="48" spans="1:13" x14ac:dyDescent="0.3">
      <c r="B48" s="174" t="s">
        <v>402</v>
      </c>
    </row>
    <row r="49" spans="2:2" x14ac:dyDescent="0.3">
      <c r="B49" s="59" t="s">
        <v>403</v>
      </c>
    </row>
    <row r="50" spans="2:2" x14ac:dyDescent="0.3">
      <c r="B50" s="59" t="s">
        <v>404</v>
      </c>
    </row>
    <row r="51" spans="2:2" x14ac:dyDescent="0.3">
      <c r="B51" s="59" t="s">
        <v>405</v>
      </c>
    </row>
  </sheetData>
  <mergeCells count="4">
    <mergeCell ref="H2:L2"/>
    <mergeCell ref="D2:G2"/>
    <mergeCell ref="B2:B3"/>
    <mergeCell ref="C2:C3"/>
  </mergeCells>
  <pageMargins left="0.7" right="0.7" top="0.75" bottom="0.75" header="0.3" footer="0.3"/>
  <ignoredErrors>
    <ignoredError sqref="M3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2DCA-4F51-44BA-9845-9E970EE17141}">
  <dimension ref="A2:L70"/>
  <sheetViews>
    <sheetView showGridLines="0" topLeftCell="A2" zoomScale="88" workbookViewId="0">
      <pane ySplit="3" topLeftCell="A5" activePane="bottomLeft" state="frozen"/>
      <selection activeCell="A2" sqref="A2"/>
      <selection pane="bottomLeft" activeCell="B70" sqref="B70"/>
    </sheetView>
  </sheetViews>
  <sheetFormatPr defaultRowHeight="14.4" x14ac:dyDescent="0.3"/>
  <cols>
    <col min="1" max="1" width="1.88671875" customWidth="1"/>
    <col min="2" max="2" width="59.88671875" bestFit="1" customWidth="1"/>
    <col min="4" max="12" width="10.77734375" customWidth="1"/>
  </cols>
  <sheetData>
    <row r="2" spans="1:12" ht="15" thickBot="1" x14ac:dyDescent="0.35"/>
    <row r="3" spans="1:12" ht="15" thickBot="1" x14ac:dyDescent="0.35">
      <c r="A3" t="s">
        <v>7</v>
      </c>
      <c r="B3" s="179" t="s">
        <v>0</v>
      </c>
      <c r="C3" s="179" t="s">
        <v>1</v>
      </c>
      <c r="D3" s="183" t="s">
        <v>2</v>
      </c>
      <c r="E3" s="183"/>
      <c r="F3" s="183"/>
      <c r="G3" s="183"/>
      <c r="H3" s="183" t="s">
        <v>3</v>
      </c>
      <c r="I3" s="183"/>
      <c r="J3" s="183"/>
      <c r="K3" s="183"/>
      <c r="L3" s="183"/>
    </row>
    <row r="4" spans="1:12" ht="15" thickBot="1" x14ac:dyDescent="0.35">
      <c r="B4" s="179"/>
      <c r="C4" s="179"/>
      <c r="D4" s="72">
        <v>2021</v>
      </c>
      <c r="E4" s="72">
        <f>D4+1</f>
        <v>2022</v>
      </c>
      <c r="F4" s="72">
        <f t="shared" ref="F4:L4" si="0">E4+1</f>
        <v>2023</v>
      </c>
      <c r="G4" s="72">
        <f t="shared" si="0"/>
        <v>2024</v>
      </c>
      <c r="H4" s="72">
        <f t="shared" si="0"/>
        <v>2025</v>
      </c>
      <c r="I4" s="72">
        <f t="shared" si="0"/>
        <v>2026</v>
      </c>
      <c r="J4" s="72">
        <f t="shared" si="0"/>
        <v>2027</v>
      </c>
      <c r="K4" s="72">
        <f t="shared" si="0"/>
        <v>2028</v>
      </c>
      <c r="L4" s="72">
        <f t="shared" si="0"/>
        <v>2029</v>
      </c>
    </row>
    <row r="5" spans="1:12" x14ac:dyDescent="0.3">
      <c r="G5" s="86"/>
    </row>
    <row r="6" spans="1:12" x14ac:dyDescent="0.3">
      <c r="B6" t="s">
        <v>19</v>
      </c>
      <c r="C6" s="18" t="s">
        <v>151</v>
      </c>
      <c r="D6" s="22">
        <f>Revenue!D45</f>
        <v>38655</v>
      </c>
      <c r="E6" s="22">
        <f>Revenue!E45</f>
        <v>43004</v>
      </c>
      <c r="F6" s="22">
        <f>Revenue!F45</f>
        <v>45754</v>
      </c>
      <c r="G6" s="87">
        <f>Revenue!G45</f>
        <v>47061</v>
      </c>
      <c r="H6" s="22">
        <f>Revenue!H45</f>
        <v>51512.525229038678</v>
      </c>
      <c r="I6" s="22">
        <f>Revenue!I45</f>
        <v>56294.27229148952</v>
      </c>
      <c r="J6" s="22">
        <f>Revenue!J45</f>
        <v>61273.146038750776</v>
      </c>
      <c r="K6" s="22">
        <f>Revenue!K45</f>
        <v>66677.881981301427</v>
      </c>
      <c r="L6" s="22">
        <f>Revenue!L45</f>
        <v>72289.413096052769</v>
      </c>
    </row>
    <row r="7" spans="1:12" ht="16.2" x14ac:dyDescent="0.3">
      <c r="B7" t="s">
        <v>376</v>
      </c>
      <c r="D7" s="5">
        <v>3</v>
      </c>
      <c r="E7" s="5">
        <v>42</v>
      </c>
      <c r="F7" s="5">
        <v>30</v>
      </c>
      <c r="G7" s="8">
        <v>-164</v>
      </c>
      <c r="H7" s="5">
        <v>0</v>
      </c>
      <c r="I7" s="5">
        <v>0</v>
      </c>
      <c r="J7" s="5">
        <v>0</v>
      </c>
      <c r="K7" s="5">
        <v>0</v>
      </c>
      <c r="L7" s="5">
        <v>0</v>
      </c>
    </row>
    <row r="8" spans="1:12" x14ac:dyDescent="0.3">
      <c r="B8" t="s">
        <v>21</v>
      </c>
      <c r="D8" s="6">
        <f t="shared" ref="D8:F8" si="1">SUM(D6:D7)</f>
        <v>38658</v>
      </c>
      <c r="E8" s="6">
        <f t="shared" si="1"/>
        <v>43046</v>
      </c>
      <c r="F8" s="6">
        <f t="shared" si="1"/>
        <v>45784</v>
      </c>
      <c r="G8" s="88">
        <f>SUM(G6:G7)</f>
        <v>46897</v>
      </c>
      <c r="H8" s="6">
        <f t="shared" ref="H8:L8" si="2">SUM(H6:H7)</f>
        <v>51512.525229038678</v>
      </c>
      <c r="I8" s="6">
        <f t="shared" si="2"/>
        <v>56294.27229148952</v>
      </c>
      <c r="J8" s="6">
        <f t="shared" si="2"/>
        <v>61273.146038750776</v>
      </c>
      <c r="K8" s="6">
        <f t="shared" si="2"/>
        <v>66677.881981301427</v>
      </c>
      <c r="L8" s="6">
        <f t="shared" si="2"/>
        <v>72289.413096052769</v>
      </c>
    </row>
    <row r="9" spans="1:12" x14ac:dyDescent="0.3">
      <c r="G9" s="10"/>
    </row>
    <row r="10" spans="1:12" x14ac:dyDescent="0.3">
      <c r="B10" t="s">
        <v>22</v>
      </c>
      <c r="D10" s="26">
        <v>15357</v>
      </c>
      <c r="E10" s="26">
        <v>18000</v>
      </c>
      <c r="F10" s="26">
        <v>18520</v>
      </c>
      <c r="G10" s="89">
        <v>18324</v>
      </c>
    </row>
    <row r="11" spans="1:12" x14ac:dyDescent="0.3">
      <c r="B11" t="s">
        <v>20</v>
      </c>
      <c r="D11" s="5">
        <v>53</v>
      </c>
      <c r="E11" s="5">
        <v>-183</v>
      </c>
      <c r="F11" s="5">
        <v>-55</v>
      </c>
      <c r="G11" s="8">
        <v>-70</v>
      </c>
    </row>
    <row r="12" spans="1:12" x14ac:dyDescent="0.3">
      <c r="B12" s="19" t="s">
        <v>23</v>
      </c>
      <c r="C12" s="19"/>
      <c r="D12" s="21">
        <f t="shared" ref="D12:F12" si="3">SUM(D10:D11)</f>
        <v>15410</v>
      </c>
      <c r="E12" s="21">
        <f t="shared" si="3"/>
        <v>17817</v>
      </c>
      <c r="F12" s="21">
        <f t="shared" si="3"/>
        <v>18465</v>
      </c>
      <c r="G12" s="90">
        <f>SUM(G10:G11)</f>
        <v>18254</v>
      </c>
      <c r="H12" s="21">
        <f>H8-H13</f>
        <v>20670.336998511615</v>
      </c>
      <c r="I12" s="21">
        <f t="shared" ref="I12:L12" si="4">I8-I13</f>
        <v>22589.099916520994</v>
      </c>
      <c r="J12" s="21">
        <f t="shared" si="4"/>
        <v>24586.963499627134</v>
      </c>
      <c r="K12" s="21">
        <f t="shared" si="4"/>
        <v>26755.712028722977</v>
      </c>
      <c r="L12" s="21">
        <f t="shared" si="4"/>
        <v>29007.440879207606</v>
      </c>
    </row>
    <row r="13" spans="1:12" x14ac:dyDescent="0.3">
      <c r="B13" s="18" t="s">
        <v>24</v>
      </c>
      <c r="D13" s="23">
        <f t="shared" ref="D13:F13" si="5">D8-D12</f>
        <v>23248</v>
      </c>
      <c r="E13" s="23">
        <f t="shared" si="5"/>
        <v>25229</v>
      </c>
      <c r="F13" s="23">
        <f t="shared" si="5"/>
        <v>27319</v>
      </c>
      <c r="G13" s="91">
        <f>G8-G12</f>
        <v>28643</v>
      </c>
      <c r="H13" s="23">
        <f>H8*H55</f>
        <v>30842.188230527063</v>
      </c>
      <c r="I13" s="23">
        <f>I8*I55</f>
        <v>33705.172374968526</v>
      </c>
      <c r="J13" s="23">
        <f>J8*J55</f>
        <v>36686.182539123642</v>
      </c>
      <c r="K13" s="23">
        <f>K8*K55</f>
        <v>39922.16995257845</v>
      </c>
      <c r="L13" s="23">
        <f>L8*L55</f>
        <v>43281.972216845163</v>
      </c>
    </row>
    <row r="14" spans="1:12" x14ac:dyDescent="0.3">
      <c r="G14" s="10"/>
    </row>
    <row r="15" spans="1:12" x14ac:dyDescent="0.3">
      <c r="B15" t="s">
        <v>25</v>
      </c>
      <c r="D15" s="26">
        <v>12144</v>
      </c>
      <c r="E15" s="26">
        <v>12880</v>
      </c>
      <c r="F15" s="26">
        <v>13972</v>
      </c>
      <c r="G15" s="89">
        <v>14582</v>
      </c>
    </row>
    <row r="16" spans="1:12" x14ac:dyDescent="0.3">
      <c r="B16" t="s">
        <v>20</v>
      </c>
      <c r="D16" s="5">
        <v>-5</v>
      </c>
      <c r="E16" s="5">
        <v>4</v>
      </c>
      <c r="F16" s="5">
        <v>11</v>
      </c>
      <c r="G16" s="8">
        <v>-24</v>
      </c>
    </row>
    <row r="17" spans="2:12" x14ac:dyDescent="0.3">
      <c r="B17" t="s">
        <v>27</v>
      </c>
      <c r="D17" s="6">
        <f t="shared" ref="D17:F17" si="6">SUM(D15:D16)</f>
        <v>12139</v>
      </c>
      <c r="E17" s="6">
        <f t="shared" si="6"/>
        <v>12884</v>
      </c>
      <c r="F17" s="6">
        <f t="shared" si="6"/>
        <v>13983</v>
      </c>
      <c r="G17" s="88">
        <f>SUM(G15:G16)</f>
        <v>14558</v>
      </c>
      <c r="H17" s="6">
        <f>H56*H8</f>
        <v>15829.220762823712</v>
      </c>
      <c r="I17" s="6">
        <f>I56*I8</f>
        <v>17298.597958893482</v>
      </c>
      <c r="J17" s="6">
        <f>J56*J8</f>
        <v>18828.549972412671</v>
      </c>
      <c r="K17" s="6">
        <f>K56*K8</f>
        <v>20489.36465814224</v>
      </c>
      <c r="L17" s="6">
        <f>L56*L8</f>
        <v>22213.725178965244</v>
      </c>
    </row>
    <row r="18" spans="2:12" x14ac:dyDescent="0.3">
      <c r="G18" s="10"/>
    </row>
    <row r="19" spans="2:12" x14ac:dyDescent="0.3">
      <c r="B19" t="s">
        <v>26</v>
      </c>
      <c r="D19" s="26">
        <v>846</v>
      </c>
      <c r="E19" s="26">
        <v>1215</v>
      </c>
      <c r="F19" s="26">
        <v>1951</v>
      </c>
      <c r="G19" s="89">
        <v>4163</v>
      </c>
    </row>
    <row r="20" spans="2:12" x14ac:dyDescent="0.3">
      <c r="B20" t="s">
        <v>20</v>
      </c>
      <c r="D20" s="5">
        <v>-846</v>
      </c>
      <c r="E20" s="5">
        <v>-1215</v>
      </c>
      <c r="F20" s="5">
        <v>-1951</v>
      </c>
      <c r="G20" s="8">
        <v>-4163</v>
      </c>
    </row>
    <row r="21" spans="2:12" x14ac:dyDescent="0.3">
      <c r="B21" t="s">
        <v>28</v>
      </c>
      <c r="D21" s="6">
        <f t="shared" ref="D21:F21" si="7">SUM(D19:D20)</f>
        <v>0</v>
      </c>
      <c r="E21" s="6">
        <f t="shared" si="7"/>
        <v>0</v>
      </c>
      <c r="F21" s="6">
        <f t="shared" si="7"/>
        <v>0</v>
      </c>
      <c r="G21" s="88">
        <f>SUM(G19:G20)</f>
        <v>0</v>
      </c>
      <c r="H21" s="6">
        <f>G21</f>
        <v>0</v>
      </c>
      <c r="I21" s="6">
        <f t="shared" ref="I21:L21" si="8">H21</f>
        <v>0</v>
      </c>
      <c r="J21" s="6">
        <f t="shared" si="8"/>
        <v>0</v>
      </c>
      <c r="K21" s="6">
        <f t="shared" si="8"/>
        <v>0</v>
      </c>
      <c r="L21" s="6">
        <f t="shared" si="8"/>
        <v>0</v>
      </c>
    </row>
    <row r="22" spans="2:12" x14ac:dyDescent="0.3">
      <c r="B22" s="11" t="s">
        <v>29</v>
      </c>
      <c r="C22" s="12"/>
      <c r="D22" s="24">
        <f t="shared" ref="D22:L22" si="9">D13-D17-D21</f>
        <v>11109</v>
      </c>
      <c r="E22" s="24">
        <f t="shared" si="9"/>
        <v>12345</v>
      </c>
      <c r="F22" s="24">
        <f t="shared" si="9"/>
        <v>13336</v>
      </c>
      <c r="G22" s="92">
        <f t="shared" si="9"/>
        <v>14085</v>
      </c>
      <c r="H22" s="24">
        <f t="shared" si="9"/>
        <v>15012.967467703351</v>
      </c>
      <c r="I22" s="24">
        <f t="shared" si="9"/>
        <v>16406.574416075044</v>
      </c>
      <c r="J22" s="24">
        <f t="shared" si="9"/>
        <v>17857.63256671097</v>
      </c>
      <c r="K22" s="24">
        <f t="shared" si="9"/>
        <v>19432.80529443621</v>
      </c>
      <c r="L22" s="24">
        <f t="shared" si="9"/>
        <v>21068.247037879919</v>
      </c>
    </row>
    <row r="23" spans="2:12" x14ac:dyDescent="0.3">
      <c r="G23" s="10"/>
    </row>
    <row r="24" spans="2:12" x14ac:dyDescent="0.3">
      <c r="B24" t="s">
        <v>30</v>
      </c>
      <c r="D24" s="26">
        <v>276</v>
      </c>
      <c r="E24" s="26">
        <v>449</v>
      </c>
      <c r="F24" s="26">
        <v>907</v>
      </c>
      <c r="G24" s="89">
        <v>988</v>
      </c>
    </row>
    <row r="25" spans="2:12" x14ac:dyDescent="0.3">
      <c r="B25" t="s">
        <v>20</v>
      </c>
      <c r="D25" s="5">
        <v>0</v>
      </c>
      <c r="E25" s="5">
        <v>0</v>
      </c>
      <c r="F25" s="5">
        <v>0</v>
      </c>
      <c r="G25" s="8">
        <v>0</v>
      </c>
    </row>
    <row r="26" spans="2:12" x14ac:dyDescent="0.3">
      <c r="B26" t="s">
        <v>34</v>
      </c>
      <c r="D26" s="6">
        <f t="shared" ref="D26:F26" si="10">SUM(D24:D25)</f>
        <v>276</v>
      </c>
      <c r="E26" s="6">
        <f t="shared" si="10"/>
        <v>449</v>
      </c>
      <c r="F26" s="6">
        <f t="shared" si="10"/>
        <v>907</v>
      </c>
      <c r="G26" s="88">
        <f>SUM(G24:G25)</f>
        <v>988</v>
      </c>
      <c r="H26" s="65">
        <f ca="1">H66*AVERAGE('Balance Sheet'!G6:H6)</f>
        <v>853.02669662927065</v>
      </c>
      <c r="I26" s="65">
        <f ca="1">I66*AVERAGE('Balance Sheet'!H6:I6)</f>
        <v>916.18101459291654</v>
      </c>
      <c r="J26" s="65">
        <f ca="1">J66*AVERAGE('Balance Sheet'!I6:J6)</f>
        <v>1056.4942954087167</v>
      </c>
      <c r="K26" s="65">
        <f ca="1">K66*AVERAGE('Balance Sheet'!J6:K6)</f>
        <v>1132.9978324870735</v>
      </c>
      <c r="L26" s="65">
        <f ca="1">L66*AVERAGE('Balance Sheet'!K6:L6)</f>
        <v>1114.1300039742666</v>
      </c>
    </row>
    <row r="27" spans="2:12" x14ac:dyDescent="0.3">
      <c r="G27" s="10"/>
    </row>
    <row r="28" spans="2:12" x14ac:dyDescent="0.3">
      <c r="B28" t="s">
        <v>31</v>
      </c>
      <c r="D28" s="26">
        <v>1597</v>
      </c>
      <c r="E28" s="26">
        <v>882</v>
      </c>
      <c r="F28" s="26">
        <v>1527</v>
      </c>
      <c r="G28" s="89">
        <v>1656</v>
      </c>
    </row>
    <row r="29" spans="2:12" x14ac:dyDescent="0.3">
      <c r="B29" t="s">
        <v>20</v>
      </c>
      <c r="D29" s="5">
        <v>-821</v>
      </c>
      <c r="E29" s="5">
        <v>24</v>
      </c>
      <c r="F29" s="5">
        <v>25</v>
      </c>
      <c r="G29" s="8">
        <v>25</v>
      </c>
    </row>
    <row r="30" spans="2:12" x14ac:dyDescent="0.3">
      <c r="B30" t="s">
        <v>35</v>
      </c>
      <c r="D30" s="6">
        <f t="shared" ref="D30:F30" si="11">SUM(D28:D29)</f>
        <v>776</v>
      </c>
      <c r="E30" s="6">
        <f t="shared" si="11"/>
        <v>906</v>
      </c>
      <c r="F30" s="6">
        <f t="shared" si="11"/>
        <v>1552</v>
      </c>
      <c r="G30" s="88">
        <f>SUM(G28:G29)</f>
        <v>1681</v>
      </c>
      <c r="H30" s="6">
        <f>SUM(Debt!D24,Debt!D20)</f>
        <v>1519.182169722249</v>
      </c>
      <c r="I30" s="6">
        <f>SUM(Debt!E24,Debt!E20)</f>
        <v>1438.871560168785</v>
      </c>
      <c r="J30" s="6">
        <f>SUM(Debt!F24,Debt!F20)</f>
        <v>1308.3586671963997</v>
      </c>
      <c r="K30" s="6">
        <f>SUM(Debt!G24,Debt!G20)</f>
        <v>1149.0760361006503</v>
      </c>
      <c r="L30" s="6">
        <f>SUM(Debt!H24,Debt!H20)</f>
        <v>946.68897422008047</v>
      </c>
    </row>
    <row r="31" spans="2:12" x14ac:dyDescent="0.3">
      <c r="G31" s="10"/>
    </row>
    <row r="32" spans="2:12" x14ac:dyDescent="0.3">
      <c r="B32" t="s">
        <v>32</v>
      </c>
      <c r="D32" s="26">
        <v>1438</v>
      </c>
      <c r="E32" s="26">
        <v>1472</v>
      </c>
      <c r="F32" s="26">
        <v>1691</v>
      </c>
      <c r="G32" s="89">
        <v>1770</v>
      </c>
    </row>
    <row r="33" spans="2:12" x14ac:dyDescent="0.3">
      <c r="B33" t="s">
        <v>20</v>
      </c>
      <c r="D33" s="20">
        <v>13</v>
      </c>
      <c r="E33" s="20">
        <v>34</v>
      </c>
      <c r="F33" s="20">
        <v>159</v>
      </c>
      <c r="G33" s="93">
        <v>92</v>
      </c>
    </row>
    <row r="34" spans="2:12" x14ac:dyDescent="0.3">
      <c r="B34" t="s">
        <v>36</v>
      </c>
      <c r="D34" s="6">
        <f t="shared" ref="D34:F34" si="12">SUM(D32:D33)</f>
        <v>1451</v>
      </c>
      <c r="E34" s="6">
        <f t="shared" si="12"/>
        <v>1506</v>
      </c>
      <c r="F34" s="6">
        <f t="shared" si="12"/>
        <v>1850</v>
      </c>
      <c r="G34" s="88">
        <f>SUM(G32:G33)</f>
        <v>1862</v>
      </c>
      <c r="H34" s="6">
        <f>H59*H8</f>
        <v>1965.6054774875424</v>
      </c>
      <c r="I34" s="6">
        <f>I59*I8</f>
        <v>2148.0665037354834</v>
      </c>
      <c r="J34" s="6">
        <f>J59*J8</f>
        <v>2338.0494538203843</v>
      </c>
      <c r="K34" s="6">
        <f>K59*K8</f>
        <v>2544.2823753441503</v>
      </c>
      <c r="L34" s="6">
        <f>L59*L8</f>
        <v>2758.4061490711106</v>
      </c>
    </row>
    <row r="35" spans="2:12" x14ac:dyDescent="0.3">
      <c r="G35" s="10"/>
    </row>
    <row r="36" spans="2:12" x14ac:dyDescent="0.3">
      <c r="B36" t="s">
        <v>33</v>
      </c>
      <c r="D36" s="26">
        <v>2000</v>
      </c>
      <c r="E36" s="26">
        <v>-262</v>
      </c>
      <c r="F36" s="26">
        <v>570</v>
      </c>
      <c r="G36" s="89">
        <v>1992</v>
      </c>
    </row>
    <row r="37" spans="2:12" x14ac:dyDescent="0.3">
      <c r="B37" t="s">
        <v>20</v>
      </c>
      <c r="D37" s="5">
        <v>-1633</v>
      </c>
      <c r="E37" s="5">
        <v>245</v>
      </c>
      <c r="F37" s="5">
        <v>-708</v>
      </c>
      <c r="G37" s="8">
        <v>-1913</v>
      </c>
    </row>
    <row r="38" spans="2:12" x14ac:dyDescent="0.3">
      <c r="B38" s="19" t="s">
        <v>37</v>
      </c>
      <c r="C38" s="19"/>
      <c r="D38" s="6">
        <f t="shared" ref="D38:F38" si="13">SUM(D36:D37)</f>
        <v>367</v>
      </c>
      <c r="E38" s="6">
        <f t="shared" si="13"/>
        <v>-17</v>
      </c>
      <c r="F38" s="6">
        <f t="shared" si="13"/>
        <v>-138</v>
      </c>
      <c r="G38" s="88">
        <f>SUM(G36:G37)</f>
        <v>79</v>
      </c>
      <c r="H38" s="21">
        <f>AVERAGE(E38:G38)</f>
        <v>-25.333333333333332</v>
      </c>
      <c r="I38" s="21">
        <f t="shared" ref="I38:L38" si="14">AVERAGE(F38:H38)</f>
        <v>-28.111111111111111</v>
      </c>
      <c r="J38" s="21">
        <f t="shared" si="14"/>
        <v>8.5185185185185208</v>
      </c>
      <c r="K38" s="21">
        <f t="shared" si="14"/>
        <v>-14.975308641975309</v>
      </c>
      <c r="L38" s="21">
        <f t="shared" si="14"/>
        <v>-11.522633744855966</v>
      </c>
    </row>
    <row r="39" spans="2:12" x14ac:dyDescent="0.3">
      <c r="B39" s="18" t="s">
        <v>38</v>
      </c>
      <c r="D39" s="24">
        <f t="shared" ref="D39:F39" si="15">D22+D26-D30+D34+D38</f>
        <v>12427</v>
      </c>
      <c r="E39" s="24">
        <f t="shared" si="15"/>
        <v>13377</v>
      </c>
      <c r="F39" s="24">
        <f t="shared" si="15"/>
        <v>14403</v>
      </c>
      <c r="G39" s="92">
        <f>G22+G26-G30+G34+G38</f>
        <v>15333</v>
      </c>
      <c r="H39" s="24">
        <f t="shared" ref="H39:L39" ca="1" si="16">H22+H26-H30+H34+H38</f>
        <v>16287.084138764581</v>
      </c>
      <c r="I39" s="24">
        <f t="shared" ca="1" si="16"/>
        <v>18003.839263123547</v>
      </c>
      <c r="J39" s="24">
        <f t="shared" ca="1" si="16"/>
        <v>19952.33616726219</v>
      </c>
      <c r="K39" s="24">
        <f t="shared" ca="1" si="16"/>
        <v>21946.034157524806</v>
      </c>
      <c r="L39" s="24">
        <f t="shared" ca="1" si="16"/>
        <v>23982.571582960361</v>
      </c>
    </row>
    <row r="40" spans="2:12" x14ac:dyDescent="0.3">
      <c r="G40" s="10"/>
    </row>
    <row r="41" spans="2:12" x14ac:dyDescent="0.3">
      <c r="B41" t="s">
        <v>39</v>
      </c>
      <c r="D41" s="26">
        <v>2621</v>
      </c>
      <c r="E41" s="26">
        <v>2115</v>
      </c>
      <c r="F41" s="26">
        <v>2249</v>
      </c>
      <c r="G41" s="89">
        <v>2437</v>
      </c>
    </row>
    <row r="42" spans="2:12" x14ac:dyDescent="0.3">
      <c r="B42" t="s">
        <v>20</v>
      </c>
      <c r="D42" s="5">
        <v>-313</v>
      </c>
      <c r="E42" s="5">
        <v>430</v>
      </c>
      <c r="F42" s="5">
        <v>488</v>
      </c>
      <c r="G42" s="8">
        <v>415</v>
      </c>
    </row>
    <row r="43" spans="2:12" x14ac:dyDescent="0.3">
      <c r="B43" s="19" t="s">
        <v>40</v>
      </c>
      <c r="D43" s="6">
        <f t="shared" ref="D43:F43" si="17">SUM(D41:D42)</f>
        <v>2308</v>
      </c>
      <c r="E43" s="6">
        <f t="shared" si="17"/>
        <v>2545</v>
      </c>
      <c r="F43" s="6">
        <f t="shared" si="17"/>
        <v>2737</v>
      </c>
      <c r="G43" s="88">
        <f>SUM(G41:G42)</f>
        <v>2852</v>
      </c>
      <c r="H43" s="30">
        <f ca="1">H39*H58</f>
        <v>3062.0143894853422</v>
      </c>
      <c r="I43" s="30">
        <f t="shared" ref="I43:L43" ca="1" si="18">I39*I58</f>
        <v>3384.7688401422529</v>
      </c>
      <c r="J43" s="30">
        <f t="shared" ca="1" si="18"/>
        <v>3751.0913511274962</v>
      </c>
      <c r="K43" s="30">
        <f t="shared" ca="1" si="18"/>
        <v>4125.9117844512475</v>
      </c>
      <c r="L43" s="30">
        <f t="shared" ca="1" si="18"/>
        <v>4508.7861435617979</v>
      </c>
    </row>
    <row r="44" spans="2:12" x14ac:dyDescent="0.3">
      <c r="B44" s="18" t="s">
        <v>41</v>
      </c>
      <c r="C44" s="12"/>
      <c r="D44" s="24">
        <f t="shared" ref="D44:F44" si="19">D39-D43</f>
        <v>10119</v>
      </c>
      <c r="E44" s="24">
        <f t="shared" si="19"/>
        <v>10832</v>
      </c>
      <c r="F44" s="24">
        <f t="shared" si="19"/>
        <v>11666</v>
      </c>
      <c r="G44" s="92">
        <f>G39-G43</f>
        <v>12481</v>
      </c>
      <c r="H44" s="24">
        <f t="shared" ref="H44:L44" ca="1" si="20">H39-H43</f>
        <v>13225.069749279239</v>
      </c>
      <c r="I44" s="24">
        <f t="shared" ca="1" si="20"/>
        <v>14619.070422981295</v>
      </c>
      <c r="J44" s="24">
        <f t="shared" ca="1" si="20"/>
        <v>16201.244816134695</v>
      </c>
      <c r="K44" s="24">
        <f t="shared" ca="1" si="20"/>
        <v>17820.122373073558</v>
      </c>
      <c r="L44" s="24">
        <f t="shared" ca="1" si="20"/>
        <v>19473.785439398562</v>
      </c>
    </row>
    <row r="45" spans="2:12" ht="15" thickBot="1" x14ac:dyDescent="0.35">
      <c r="B45" t="s">
        <v>42</v>
      </c>
      <c r="D45" s="5">
        <v>33</v>
      </c>
      <c r="E45" s="5">
        <v>29</v>
      </c>
      <c r="F45" s="5">
        <v>-11</v>
      </c>
      <c r="G45" s="8">
        <v>18</v>
      </c>
      <c r="H45" s="6">
        <f ca="1">H44*H61</f>
        <v>21.28484222696089</v>
      </c>
      <c r="I45" s="6">
        <f t="shared" ref="I45:L45" ca="1" si="21">I44*I61</f>
        <v>23.528390651772977</v>
      </c>
      <c r="J45" s="6">
        <f t="shared" ca="1" si="21"/>
        <v>26.074791765131422</v>
      </c>
      <c r="K45" s="6">
        <f t="shared" ca="1" si="21"/>
        <v>28.680264101947603</v>
      </c>
      <c r="L45" s="6">
        <f t="shared" ca="1" si="21"/>
        <v>31.341721329059645</v>
      </c>
    </row>
    <row r="46" spans="2:12" ht="15" thickBot="1" x14ac:dyDescent="0.35">
      <c r="B46" s="13" t="s">
        <v>43</v>
      </c>
      <c r="C46" s="14"/>
      <c r="D46" s="75">
        <f t="shared" ref="D46:E46" si="22">D44-D45</f>
        <v>10086</v>
      </c>
      <c r="E46" s="75">
        <f t="shared" si="22"/>
        <v>10803</v>
      </c>
      <c r="F46" s="75">
        <f>F44-F45</f>
        <v>11677</v>
      </c>
      <c r="G46" s="94">
        <f>G44-G45</f>
        <v>12463</v>
      </c>
      <c r="H46" s="75">
        <f t="shared" ref="H46:L46" ca="1" si="23">H44-H45</f>
        <v>13203.784907052277</v>
      </c>
      <c r="I46" s="75">
        <f t="shared" ca="1" si="23"/>
        <v>14595.542032329522</v>
      </c>
      <c r="J46" s="75">
        <f t="shared" ca="1" si="23"/>
        <v>16175.170024369563</v>
      </c>
      <c r="K46" s="75">
        <f t="shared" ca="1" si="23"/>
        <v>17791.442108971612</v>
      </c>
      <c r="L46" s="75">
        <f t="shared" ca="1" si="23"/>
        <v>19442.443718069502</v>
      </c>
    </row>
    <row r="47" spans="2:12" ht="15" thickTop="1" x14ac:dyDescent="0.3">
      <c r="G47" s="10"/>
    </row>
    <row r="48" spans="2:12" x14ac:dyDescent="0.3">
      <c r="B48" t="s">
        <v>45</v>
      </c>
      <c r="D48" s="25">
        <f t="shared" ref="D48:F48" si="24">D46/D49</f>
        <v>2.3239631336405528</v>
      </c>
      <c r="E48" s="25">
        <f t="shared" si="24"/>
        <v>2.4834482758620688</v>
      </c>
      <c r="F48" s="25">
        <f t="shared" si="24"/>
        <v>2.6911730813551511</v>
      </c>
      <c r="G48" s="95">
        <f>G46/G49</f>
        <v>2.8849537037037036</v>
      </c>
      <c r="H48" s="25">
        <f t="shared" ref="H48:L48" ca="1" si="25">H46/H49</f>
        <v>3.0564316914472864</v>
      </c>
      <c r="I48" s="25">
        <f t="shared" ca="1" si="25"/>
        <v>3.3785976926688708</v>
      </c>
      <c r="J48" s="25">
        <f t="shared" ca="1" si="25"/>
        <v>3.7442523204559173</v>
      </c>
      <c r="K48" s="25">
        <f t="shared" ca="1" si="25"/>
        <v>4.1183893770767623</v>
      </c>
      <c r="L48" s="25">
        <f t="shared" ca="1" si="25"/>
        <v>4.5005656754790513</v>
      </c>
    </row>
    <row r="49" spans="1:12" x14ac:dyDescent="0.3">
      <c r="B49" t="s">
        <v>44</v>
      </c>
      <c r="D49" s="26">
        <v>4340</v>
      </c>
      <c r="E49" s="26">
        <v>4350</v>
      </c>
      <c r="F49" s="26">
        <v>4339</v>
      </c>
      <c r="G49" s="89">
        <v>4320</v>
      </c>
      <c r="H49" s="4">
        <f>G49</f>
        <v>4320</v>
      </c>
      <c r="I49" s="4">
        <f t="shared" ref="I49:L49" si="26">H49</f>
        <v>4320</v>
      </c>
      <c r="J49" s="4">
        <f t="shared" si="26"/>
        <v>4320</v>
      </c>
      <c r="K49" s="4">
        <f t="shared" si="26"/>
        <v>4320</v>
      </c>
      <c r="L49" s="4">
        <f t="shared" si="26"/>
        <v>4320</v>
      </c>
    </row>
    <row r="50" spans="1:12" x14ac:dyDescent="0.3">
      <c r="G50" s="10"/>
    </row>
    <row r="51" spans="1:12" x14ac:dyDescent="0.3">
      <c r="B51" t="s">
        <v>46</v>
      </c>
      <c r="D51" s="27">
        <v>1.68</v>
      </c>
      <c r="E51" s="27">
        <v>1.76</v>
      </c>
      <c r="F51" s="27">
        <v>1.84</v>
      </c>
      <c r="G51" s="96">
        <v>1.94</v>
      </c>
      <c r="H51" s="31">
        <f t="shared" ref="H51:L51" ca="1" si="27">H52*H48</f>
        <v>2.1332779814672502</v>
      </c>
      <c r="I51" s="31">
        <f t="shared" ca="1" si="27"/>
        <v>2.4443231244183456</v>
      </c>
      <c r="J51" s="31">
        <f t="shared" ca="1" si="27"/>
        <v>2.8043767905347816</v>
      </c>
      <c r="K51" s="31">
        <f t="shared" ca="1" si="27"/>
        <v>3.189655066552668</v>
      </c>
      <c r="L51" s="31">
        <f t="shared" ca="1" si="27"/>
        <v>3.600452540383241</v>
      </c>
    </row>
    <row r="52" spans="1:12" ht="16.2" x14ac:dyDescent="0.3">
      <c r="B52" s="3" t="s">
        <v>377</v>
      </c>
      <c r="C52" s="3"/>
      <c r="D52" s="28">
        <f t="shared" ref="D52:F52" si="28">D51/D48</f>
        <v>0.72290303390838784</v>
      </c>
      <c r="E52" s="28">
        <f t="shared" si="28"/>
        <v>0.70869202999166903</v>
      </c>
      <c r="F52" s="28">
        <f t="shared" si="28"/>
        <v>0.68371670805857665</v>
      </c>
      <c r="G52" s="97">
        <f>G51/G48</f>
        <v>0.67245446521704244</v>
      </c>
      <c r="H52" s="29">
        <f>G52+($L$52-$G$52)/5</f>
        <v>0.69796357217363392</v>
      </c>
      <c r="I52" s="29">
        <f t="shared" ref="I52:K52" si="29">H52+($L$52-$G$52)/5</f>
        <v>0.72347267913022539</v>
      </c>
      <c r="J52" s="29">
        <f t="shared" si="29"/>
        <v>0.74898178608681687</v>
      </c>
      <c r="K52" s="29">
        <f t="shared" si="29"/>
        <v>0.77449089304340835</v>
      </c>
      <c r="L52" s="84">
        <v>0.8</v>
      </c>
    </row>
    <row r="53" spans="1:12" x14ac:dyDescent="0.3">
      <c r="G53" s="10"/>
      <c r="H53" s="83"/>
      <c r="K53" s="29"/>
      <c r="L53" s="29"/>
    </row>
    <row r="54" spans="1:12" x14ac:dyDescent="0.3">
      <c r="A54" t="s">
        <v>7</v>
      </c>
      <c r="B54" t="s">
        <v>47</v>
      </c>
      <c r="G54" s="10"/>
      <c r="H54" s="29"/>
      <c r="I54" s="29"/>
      <c r="J54" s="29"/>
      <c r="K54" s="29"/>
    </row>
    <row r="55" spans="1:12" x14ac:dyDescent="0.3">
      <c r="B55" s="3" t="s">
        <v>48</v>
      </c>
      <c r="C55" s="3"/>
      <c r="D55" s="28">
        <f>D13/D8</f>
        <v>0.6013761705209788</v>
      </c>
      <c r="E55" s="28">
        <f>E13/E8</f>
        <v>0.58609394601124376</v>
      </c>
      <c r="F55" s="28">
        <f>F13/F8</f>
        <v>0.59669316791892368</v>
      </c>
      <c r="G55" s="97">
        <f>G13/G8</f>
        <v>0.61076401475574127</v>
      </c>
      <c r="H55" s="48">
        <f>AVERAGE(D55:G55)</f>
        <v>0.59873182480172182</v>
      </c>
      <c r="I55" s="48">
        <f>H55</f>
        <v>0.59873182480172182</v>
      </c>
      <c r="J55" s="48">
        <f t="shared" ref="J55:L55" si="30">I55</f>
        <v>0.59873182480172182</v>
      </c>
      <c r="K55" s="48">
        <f t="shared" si="30"/>
        <v>0.59873182480172182</v>
      </c>
      <c r="L55" s="48">
        <f t="shared" si="30"/>
        <v>0.59873182480172182</v>
      </c>
    </row>
    <row r="56" spans="1:12" x14ac:dyDescent="0.3">
      <c r="B56" s="3" t="s">
        <v>49</v>
      </c>
      <c r="C56" s="3"/>
      <c r="D56" s="28">
        <f>D17/D8</f>
        <v>0.31401003673237105</v>
      </c>
      <c r="E56" s="28">
        <f>E17/E8</f>
        <v>0.29930771732565165</v>
      </c>
      <c r="F56" s="28">
        <f>F17/F8</f>
        <v>0.30541237113402064</v>
      </c>
      <c r="G56" s="97">
        <f>G17/G8</f>
        <v>0.31042497387892615</v>
      </c>
      <c r="H56" s="48">
        <f>AVERAGE(D56:G56)</f>
        <v>0.30728877476774236</v>
      </c>
      <c r="I56" s="48">
        <f>H56</f>
        <v>0.30728877476774236</v>
      </c>
      <c r="J56" s="48">
        <f t="shared" ref="J56:L61" si="31">I56</f>
        <v>0.30728877476774236</v>
      </c>
      <c r="K56" s="48">
        <f t="shared" si="31"/>
        <v>0.30728877476774236</v>
      </c>
      <c r="L56" s="48">
        <f t="shared" si="31"/>
        <v>0.30728877476774236</v>
      </c>
    </row>
    <row r="57" spans="1:12" x14ac:dyDescent="0.3">
      <c r="B57" s="3" t="s">
        <v>50</v>
      </c>
      <c r="C57" s="3"/>
      <c r="D57" s="28">
        <f>D22/D8</f>
        <v>0.28736613378860781</v>
      </c>
      <c r="E57" s="28">
        <f>E22/E8</f>
        <v>0.28678622868559217</v>
      </c>
      <c r="F57" s="28">
        <f>F22/F8</f>
        <v>0.29128079678490304</v>
      </c>
      <c r="G57" s="97">
        <f>G22/G8</f>
        <v>0.30033904087681512</v>
      </c>
      <c r="H57" s="48">
        <f>AVERAGE(D57:G57)</f>
        <v>0.29144305003397952</v>
      </c>
      <c r="I57" s="48">
        <f>H57</f>
        <v>0.29144305003397952</v>
      </c>
      <c r="J57" s="48">
        <f t="shared" si="31"/>
        <v>0.29144305003397952</v>
      </c>
      <c r="K57" s="48">
        <f t="shared" si="31"/>
        <v>0.29144305003397952</v>
      </c>
      <c r="L57" s="48">
        <f t="shared" si="31"/>
        <v>0.29144305003397952</v>
      </c>
    </row>
    <row r="58" spans="1:12" x14ac:dyDescent="0.3">
      <c r="B58" s="3" t="s">
        <v>51</v>
      </c>
      <c r="C58" s="3"/>
      <c r="D58" s="28">
        <f>D43/D39</f>
        <v>0.18572463185000401</v>
      </c>
      <c r="E58" s="28">
        <f t="shared" ref="E58:G58" si="32">E43/E39</f>
        <v>0.19025192494580251</v>
      </c>
      <c r="F58" s="28">
        <f t="shared" si="32"/>
        <v>0.19002985489134208</v>
      </c>
      <c r="G58" s="97">
        <f t="shared" si="32"/>
        <v>0.18600404356616448</v>
      </c>
      <c r="H58" s="48">
        <f>AVERAGE(D58:G58)</f>
        <v>0.18800261381332828</v>
      </c>
      <c r="I58" s="48">
        <f>H58</f>
        <v>0.18800261381332828</v>
      </c>
      <c r="J58" s="48">
        <f t="shared" si="31"/>
        <v>0.18800261381332828</v>
      </c>
      <c r="K58" s="48">
        <f t="shared" si="31"/>
        <v>0.18800261381332828</v>
      </c>
      <c r="L58" s="48">
        <f t="shared" si="31"/>
        <v>0.18800261381332828</v>
      </c>
    </row>
    <row r="59" spans="1:12" x14ac:dyDescent="0.3">
      <c r="B59" s="3" t="s">
        <v>52</v>
      </c>
      <c r="C59" s="3"/>
      <c r="D59" s="28">
        <f>D34/D8</f>
        <v>3.7534274923689791E-2</v>
      </c>
      <c r="E59" s="28">
        <f>E34/E8</f>
        <v>3.4985829113041864E-2</v>
      </c>
      <c r="F59" s="28">
        <f>F34/F8</f>
        <v>4.0407129128079679E-2</v>
      </c>
      <c r="G59" s="97">
        <f>G34/G8</f>
        <v>3.9704032240868284E-2</v>
      </c>
      <c r="H59" s="48">
        <f>AVERAGE(D59:G59)</f>
        <v>3.8157816351419904E-2</v>
      </c>
      <c r="I59" s="48">
        <f>H59</f>
        <v>3.8157816351419904E-2</v>
      </c>
      <c r="J59" s="48">
        <f t="shared" si="31"/>
        <v>3.8157816351419904E-2</v>
      </c>
      <c r="K59" s="48">
        <f t="shared" si="31"/>
        <v>3.8157816351419904E-2</v>
      </c>
      <c r="L59" s="48">
        <f t="shared" si="31"/>
        <v>3.8157816351419904E-2</v>
      </c>
    </row>
    <row r="60" spans="1:12" x14ac:dyDescent="0.3">
      <c r="B60" s="3" t="s">
        <v>53</v>
      </c>
      <c r="C60" s="3"/>
      <c r="D60" s="28">
        <f t="shared" ref="D60:L60" si="33">D44/D8</f>
        <v>0.26175694552227224</v>
      </c>
      <c r="E60" s="28">
        <f t="shared" si="33"/>
        <v>0.25163778283696508</v>
      </c>
      <c r="F60" s="28">
        <f t="shared" si="33"/>
        <v>0.2548051721125284</v>
      </c>
      <c r="G60" s="97">
        <f t="shared" si="33"/>
        <v>0.2661364266370983</v>
      </c>
      <c r="H60" s="28">
        <f t="shared" ca="1" si="33"/>
        <v>0.25673503076148929</v>
      </c>
      <c r="I60" s="28">
        <f t="shared" ca="1" si="33"/>
        <v>0.2596901927656925</v>
      </c>
      <c r="J60" s="28">
        <f t="shared" ca="1" si="33"/>
        <v>0.26441020028396445</v>
      </c>
      <c r="K60" s="28">
        <f t="shared" ca="1" si="33"/>
        <v>0.26725687504697404</v>
      </c>
      <c r="L60" s="28">
        <f t="shared" ca="1" si="33"/>
        <v>0.26938640950817033</v>
      </c>
    </row>
    <row r="61" spans="1:12" x14ac:dyDescent="0.3">
      <c r="B61" s="3" t="s">
        <v>54</v>
      </c>
      <c r="C61" s="3"/>
      <c r="D61" s="28">
        <f>D45/D44</f>
        <v>3.2611918173732581E-3</v>
      </c>
      <c r="E61" s="28">
        <f t="shared" ref="E61:G61" si="34">E45/E44</f>
        <v>2.6772525849335302E-3</v>
      </c>
      <c r="F61" s="28">
        <f t="shared" si="34"/>
        <v>-9.4291102348705643E-4</v>
      </c>
      <c r="G61" s="97">
        <f t="shared" si="34"/>
        <v>1.4421921320407018E-3</v>
      </c>
      <c r="H61" s="48">
        <f>AVERAGE(D61:G61)</f>
        <v>1.6094313777151085E-3</v>
      </c>
      <c r="I61" s="48">
        <f>H61</f>
        <v>1.6094313777151085E-3</v>
      </c>
      <c r="J61" s="48">
        <f t="shared" si="31"/>
        <v>1.6094313777151085E-3</v>
      </c>
      <c r="K61" s="48">
        <f t="shared" si="31"/>
        <v>1.6094313777151085E-3</v>
      </c>
      <c r="L61" s="48">
        <f t="shared" si="31"/>
        <v>1.6094313777151085E-3</v>
      </c>
    </row>
    <row r="62" spans="1:12" x14ac:dyDescent="0.3">
      <c r="B62" s="3" t="s">
        <v>55</v>
      </c>
      <c r="C62" s="3"/>
      <c r="D62" s="32">
        <f>D22+D63</f>
        <v>12561</v>
      </c>
      <c r="E62" s="32">
        <f>E22+E63</f>
        <v>13605</v>
      </c>
      <c r="F62" s="32">
        <f t="shared" ref="F62:L62" si="35">F22+F63</f>
        <v>14464</v>
      </c>
      <c r="G62" s="98">
        <f t="shared" si="35"/>
        <v>15160</v>
      </c>
      <c r="H62" s="32">
        <f t="shared" si="35"/>
        <v>16143.769592887815</v>
      </c>
      <c r="I62" s="32">
        <f t="shared" si="35"/>
        <v>17567.737307068597</v>
      </c>
      <c r="J62" s="32">
        <f t="shared" si="35"/>
        <v>19060.939215906648</v>
      </c>
      <c r="K62" s="32">
        <f t="shared" si="35"/>
        <v>20674.209664011731</v>
      </c>
      <c r="L62" s="32">
        <f t="shared" si="35"/>
        <v>22355.399279229954</v>
      </c>
    </row>
    <row r="63" spans="1:12" x14ac:dyDescent="0.3">
      <c r="B63" s="3" t="s">
        <v>56</v>
      </c>
      <c r="C63" s="3"/>
      <c r="D63" s="62">
        <v>1452</v>
      </c>
      <c r="E63" s="62">
        <v>1260</v>
      </c>
      <c r="F63" s="62">
        <v>1128</v>
      </c>
      <c r="G63" s="99">
        <v>1075</v>
      </c>
      <c r="H63" s="63">
        <f>CapEx!H19</f>
        <v>1130.8021251844632</v>
      </c>
      <c r="I63" s="63">
        <f>CapEx!I19</f>
        <v>1161.1628909935548</v>
      </c>
      <c r="J63" s="63">
        <f>CapEx!J19</f>
        <v>1203.3066491956779</v>
      </c>
      <c r="K63" s="63">
        <f>CapEx!K19</f>
        <v>1241.404369575522</v>
      </c>
      <c r="L63" s="63">
        <f>CapEx!L19</f>
        <v>1287.1522413500359</v>
      </c>
    </row>
    <row r="64" spans="1:12" x14ac:dyDescent="0.3">
      <c r="B64" s="3" t="s">
        <v>57</v>
      </c>
      <c r="C64" s="3"/>
      <c r="D64" s="28">
        <f t="shared" ref="D64:L64" si="36">D63/D8</f>
        <v>3.7560142790625486E-2</v>
      </c>
      <c r="E64" s="28">
        <f t="shared" si="36"/>
        <v>2.9271012405333828E-2</v>
      </c>
      <c r="F64" s="28">
        <f t="shared" si="36"/>
        <v>2.4637427922418312E-2</v>
      </c>
      <c r="G64" s="97">
        <f t="shared" si="36"/>
        <v>2.292257500479775E-2</v>
      </c>
      <c r="H64" s="28">
        <f t="shared" si="36"/>
        <v>2.1951983913749324E-2</v>
      </c>
      <c r="I64" s="28">
        <f t="shared" si="36"/>
        <v>2.062666135874533E-2</v>
      </c>
      <c r="J64" s="28">
        <f t="shared" si="36"/>
        <v>1.9638401599857049E-2</v>
      </c>
      <c r="K64" s="28">
        <f t="shared" si="36"/>
        <v>1.8617933453909809E-2</v>
      </c>
      <c r="L64" s="28">
        <f t="shared" si="36"/>
        <v>1.7805542834325741E-2</v>
      </c>
    </row>
    <row r="65" spans="1:12" x14ac:dyDescent="0.3">
      <c r="B65" s="3" t="s">
        <v>58</v>
      </c>
      <c r="C65" s="3"/>
      <c r="D65" s="32">
        <f>D51*D49</f>
        <v>7291.2</v>
      </c>
      <c r="E65" s="32">
        <f t="shared" ref="E65:L65" si="37">E51*E49</f>
        <v>7656</v>
      </c>
      <c r="F65" s="32">
        <f t="shared" si="37"/>
        <v>7983.76</v>
      </c>
      <c r="G65" s="98">
        <f t="shared" si="37"/>
        <v>8380.7999999999993</v>
      </c>
      <c r="H65" s="32">
        <f t="shared" ca="1" si="37"/>
        <v>9215.7608799385216</v>
      </c>
      <c r="I65" s="32">
        <f t="shared" ca="1" si="37"/>
        <v>10559.475897487253</v>
      </c>
      <c r="J65" s="32">
        <f t="shared" ca="1" si="37"/>
        <v>12114.907735110257</v>
      </c>
      <c r="K65" s="32">
        <f t="shared" ca="1" si="37"/>
        <v>13779.309887507525</v>
      </c>
      <c r="L65" s="32">
        <f t="shared" ca="1" si="37"/>
        <v>15553.954974455601</v>
      </c>
    </row>
    <row r="66" spans="1:12" x14ac:dyDescent="0.3">
      <c r="A66" t="s">
        <v>7</v>
      </c>
      <c r="B66" s="3" t="s">
        <v>59</v>
      </c>
      <c r="C66" s="3"/>
      <c r="D66" s="3"/>
      <c r="E66" s="28">
        <f>E26/AVERAGE('Balance Sheet'!E6,'Balance Sheet'!D6)</f>
        <v>4.6763526532312659E-2</v>
      </c>
      <c r="F66" s="28">
        <f>F26/AVERAGE('Balance Sheet'!F6,'Balance Sheet'!E6)</f>
        <v>9.6055070161503844E-2</v>
      </c>
      <c r="G66" s="97">
        <f>G26/AVERAGE('Balance Sheet'!G6,'Balance Sheet'!F6)</f>
        <v>9.7850846786174117E-2</v>
      </c>
      <c r="H66" s="28">
        <f>AVERAGE($E$66:$G$66)</f>
        <v>8.0223147826663538E-2</v>
      </c>
      <c r="I66" s="82">
        <f>H66</f>
        <v>8.0223147826663538E-2</v>
      </c>
      <c r="J66" s="82">
        <f t="shared" ref="J66:L66" si="38">I66</f>
        <v>8.0223147826663538E-2</v>
      </c>
      <c r="K66" s="82">
        <f t="shared" si="38"/>
        <v>8.0223147826663538E-2</v>
      </c>
      <c r="L66" s="82">
        <f t="shared" si="38"/>
        <v>8.0223147826663538E-2</v>
      </c>
    </row>
    <row r="68" spans="1:12" x14ac:dyDescent="0.3">
      <c r="A68" t="s">
        <v>7</v>
      </c>
      <c r="B68" s="176" t="s">
        <v>375</v>
      </c>
    </row>
    <row r="69" spans="1:12" x14ac:dyDescent="0.3">
      <c r="B69" s="59" t="s">
        <v>378</v>
      </c>
    </row>
    <row r="70" spans="1:12" x14ac:dyDescent="0.3">
      <c r="B70" s="174" t="s">
        <v>379</v>
      </c>
    </row>
  </sheetData>
  <mergeCells count="4">
    <mergeCell ref="B3:B4"/>
    <mergeCell ref="C3:C4"/>
    <mergeCell ref="D3:G3"/>
    <mergeCell ref="H3: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2B794-1624-497C-8E94-31B4AA861459}">
  <dimension ref="A1:T68"/>
  <sheetViews>
    <sheetView showGridLines="0" zoomScale="85" zoomScaleNormal="97" workbookViewId="0">
      <selection activeCell="J3" sqref="J3"/>
    </sheetView>
  </sheetViews>
  <sheetFormatPr defaultRowHeight="14.4" x14ac:dyDescent="0.3"/>
  <cols>
    <col min="1" max="1" width="1.88671875" customWidth="1"/>
    <col min="2" max="2" width="62.6640625" bestFit="1" customWidth="1"/>
    <col min="4" max="12" width="10.77734375" customWidth="1"/>
    <col min="14" max="14" width="18.44140625" bestFit="1" customWidth="1"/>
  </cols>
  <sheetData>
    <row r="1" spans="1:12" ht="15" thickBot="1" x14ac:dyDescent="0.35"/>
    <row r="2" spans="1:12" ht="15" thickBot="1" x14ac:dyDescent="0.35">
      <c r="B2" s="183" t="s">
        <v>0</v>
      </c>
      <c r="C2" s="183" t="s">
        <v>1</v>
      </c>
      <c r="D2" s="183" t="s">
        <v>2</v>
      </c>
      <c r="E2" s="183"/>
      <c r="F2" s="183"/>
      <c r="G2" s="183"/>
      <c r="H2" s="183" t="s">
        <v>3</v>
      </c>
      <c r="I2" s="183"/>
      <c r="J2" s="183"/>
      <c r="K2" s="183"/>
      <c r="L2" s="183"/>
    </row>
    <row r="3" spans="1:12" ht="15" thickBot="1" x14ac:dyDescent="0.35">
      <c r="A3" t="s">
        <v>7</v>
      </c>
      <c r="B3" s="183"/>
      <c r="C3" s="183"/>
      <c r="D3" s="73">
        <v>2021</v>
      </c>
      <c r="E3" s="73">
        <f>D3+1</f>
        <v>2022</v>
      </c>
      <c r="F3" s="73">
        <f t="shared" ref="F3:L3" si="0">E3+1</f>
        <v>2023</v>
      </c>
      <c r="G3" s="85">
        <f t="shared" si="0"/>
        <v>2024</v>
      </c>
      <c r="H3" s="100">
        <f t="shared" si="0"/>
        <v>2025</v>
      </c>
      <c r="I3" s="73">
        <f t="shared" si="0"/>
        <v>2026</v>
      </c>
      <c r="J3" s="73">
        <f t="shared" si="0"/>
        <v>2027</v>
      </c>
      <c r="K3" s="73">
        <f t="shared" si="0"/>
        <v>2028</v>
      </c>
      <c r="L3" s="73">
        <f t="shared" si="0"/>
        <v>2029</v>
      </c>
    </row>
    <row r="4" spans="1:12" x14ac:dyDescent="0.3">
      <c r="B4" s="18" t="s">
        <v>69</v>
      </c>
      <c r="G4" s="10"/>
    </row>
    <row r="5" spans="1:12" x14ac:dyDescent="0.3">
      <c r="B5" s="33" t="s">
        <v>70</v>
      </c>
      <c r="C5" s="18" t="s">
        <v>151</v>
      </c>
      <c r="G5" s="10"/>
    </row>
    <row r="6" spans="1:12" x14ac:dyDescent="0.3">
      <c r="B6" t="s">
        <v>71</v>
      </c>
      <c r="D6" s="41">
        <v>9684</v>
      </c>
      <c r="E6" s="41">
        <v>9519</v>
      </c>
      <c r="F6" s="41">
        <v>9366</v>
      </c>
      <c r="G6" s="101">
        <v>10828</v>
      </c>
      <c r="H6" s="44">
        <f ca="1">CFS!D42</f>
        <v>10438.348173531846</v>
      </c>
      <c r="I6" s="44">
        <f ca="1">CFS!E42</f>
        <v>12402.466215165281</v>
      </c>
      <c r="J6" s="44">
        <f ca="1">CFS!F42</f>
        <v>13936.422846915941</v>
      </c>
      <c r="K6" s="44">
        <f ca="1">CFS!G42</f>
        <v>14309.73460716746</v>
      </c>
      <c r="L6" s="44">
        <f ca="1">CFS!H42</f>
        <v>13466.039197708504</v>
      </c>
    </row>
    <row r="7" spans="1:12" x14ac:dyDescent="0.3">
      <c r="B7" t="s">
        <v>72</v>
      </c>
      <c r="D7" s="41">
        <v>1242</v>
      </c>
      <c r="E7" s="41">
        <v>1043</v>
      </c>
      <c r="F7" s="41">
        <v>2997</v>
      </c>
      <c r="G7" s="101">
        <v>2020</v>
      </c>
      <c r="H7" s="42">
        <f>G7</f>
        <v>2020</v>
      </c>
      <c r="I7" s="42">
        <f>H7</f>
        <v>2020</v>
      </c>
      <c r="J7" s="42">
        <f t="shared" ref="J7:L7" si="1">I7</f>
        <v>2020</v>
      </c>
      <c r="K7" s="42">
        <f t="shared" si="1"/>
        <v>2020</v>
      </c>
      <c r="L7" s="42">
        <f t="shared" si="1"/>
        <v>2020</v>
      </c>
    </row>
    <row r="8" spans="1:12" x14ac:dyDescent="0.3">
      <c r="B8" s="11" t="s">
        <v>73</v>
      </c>
      <c r="C8" s="11"/>
      <c r="D8" s="57">
        <f t="shared" ref="D8:E8" si="2">SUM(D6:D7)</f>
        <v>10926</v>
      </c>
      <c r="E8" s="57">
        <f t="shared" si="2"/>
        <v>10562</v>
      </c>
      <c r="F8" s="57">
        <f>SUM(F6:F7)</f>
        <v>12363</v>
      </c>
      <c r="G8" s="102">
        <f t="shared" ref="G8:L8" si="3">SUM(G6:G7)</f>
        <v>12848</v>
      </c>
      <c r="H8" s="57">
        <f t="shared" ca="1" si="3"/>
        <v>12458.348173531846</v>
      </c>
      <c r="I8" s="57">
        <f t="shared" ca="1" si="3"/>
        <v>14422.466215165281</v>
      </c>
      <c r="J8" s="57">
        <f t="shared" ca="1" si="3"/>
        <v>15956.422846915941</v>
      </c>
      <c r="K8" s="57">
        <f t="shared" ca="1" si="3"/>
        <v>16329.73460716746</v>
      </c>
      <c r="L8" s="57">
        <f t="shared" ca="1" si="3"/>
        <v>15486.039197708504</v>
      </c>
    </row>
    <row r="9" spans="1:12" x14ac:dyDescent="0.3">
      <c r="B9" t="s">
        <v>74</v>
      </c>
      <c r="D9" s="41">
        <v>1699</v>
      </c>
      <c r="E9" s="41">
        <v>1069</v>
      </c>
      <c r="F9" s="41">
        <v>1300</v>
      </c>
      <c r="G9" s="101">
        <v>1723</v>
      </c>
      <c r="H9" s="43">
        <f>G9</f>
        <v>1723</v>
      </c>
      <c r="I9" s="43">
        <f>H9</f>
        <v>1723</v>
      </c>
      <c r="J9" s="43">
        <f t="shared" ref="J9:L9" si="4">I9</f>
        <v>1723</v>
      </c>
      <c r="K9" s="43">
        <f t="shared" si="4"/>
        <v>1723</v>
      </c>
      <c r="L9" s="43">
        <f t="shared" si="4"/>
        <v>1723</v>
      </c>
    </row>
    <row r="10" spans="1:12" x14ac:dyDescent="0.3">
      <c r="B10" t="s">
        <v>102</v>
      </c>
      <c r="D10" s="41">
        <v>3512</v>
      </c>
      <c r="E10" s="41">
        <v>3487</v>
      </c>
      <c r="F10" s="41">
        <v>3410</v>
      </c>
      <c r="G10" s="101">
        <v>3569</v>
      </c>
      <c r="H10" s="43">
        <f>H46</f>
        <v>3728.9509305990218</v>
      </c>
      <c r="I10" s="43">
        <f t="shared" ref="I10:L10" si="5">I46</f>
        <v>3866.0354975720261</v>
      </c>
      <c r="J10" s="43">
        <f t="shared" si="5"/>
        <v>3980.4094191973113</v>
      </c>
      <c r="K10" s="43">
        <f t="shared" si="5"/>
        <v>4083.8860530096417</v>
      </c>
      <c r="L10" s="43">
        <f t="shared" si="5"/>
        <v>4159.1169178550908</v>
      </c>
    </row>
    <row r="11" spans="1:12" x14ac:dyDescent="0.3">
      <c r="B11" t="s">
        <v>75</v>
      </c>
      <c r="D11" s="41">
        <v>3414</v>
      </c>
      <c r="E11" s="41">
        <v>4233</v>
      </c>
      <c r="F11" s="41">
        <v>4424</v>
      </c>
      <c r="G11" s="101">
        <v>4728</v>
      </c>
      <c r="H11" s="43">
        <f>H50</f>
        <v>5415.7088937495091</v>
      </c>
      <c r="I11" s="43">
        <f t="shared" ref="I11:L11" si="6">I50</f>
        <v>5986.0228195149029</v>
      </c>
      <c r="J11" s="43">
        <f t="shared" si="6"/>
        <v>6589.0173463293822</v>
      </c>
      <c r="K11" s="43">
        <f t="shared" si="6"/>
        <v>7250.2742671114765</v>
      </c>
      <c r="L11" s="43">
        <f t="shared" si="6"/>
        <v>7947.2440764952353</v>
      </c>
    </row>
    <row r="12" spans="1:12" x14ac:dyDescent="0.3">
      <c r="B12" t="s">
        <v>76</v>
      </c>
      <c r="D12" s="41">
        <v>2994</v>
      </c>
      <c r="E12" s="41">
        <v>3240</v>
      </c>
      <c r="F12" s="41">
        <v>5235</v>
      </c>
      <c r="G12" s="101">
        <v>3129</v>
      </c>
      <c r="H12" s="43">
        <f>H54</f>
        <v>3480.6508666103323</v>
      </c>
      <c r="I12" s="43">
        <f>I54</f>
        <v>3803.748831286478</v>
      </c>
      <c r="J12" s="43">
        <f>J54</f>
        <v>4140.166452944427</v>
      </c>
      <c r="K12" s="43">
        <f>K54</f>
        <v>4505.3591659515196</v>
      </c>
      <c r="L12" s="43">
        <f>L54</f>
        <v>4884.5248261618572</v>
      </c>
    </row>
    <row r="13" spans="1:12" x14ac:dyDescent="0.3">
      <c r="B13" s="11" t="s">
        <v>77</v>
      </c>
      <c r="C13" s="12"/>
      <c r="D13" s="57">
        <f t="shared" ref="D13:E13" si="7">D8+SUM(D9:D12)</f>
        <v>22545</v>
      </c>
      <c r="E13" s="57">
        <f t="shared" si="7"/>
        <v>22591</v>
      </c>
      <c r="F13" s="57">
        <f>F8+SUM(F9:F12)</f>
        <v>26732</v>
      </c>
      <c r="G13" s="102">
        <f t="shared" ref="G13:L13" si="8">G8+SUM(G9:G12)</f>
        <v>25997</v>
      </c>
      <c r="H13" s="57">
        <f t="shared" ca="1" si="8"/>
        <v>26806.65886449071</v>
      </c>
      <c r="I13" s="57">
        <f t="shared" ca="1" si="8"/>
        <v>29801.273363538687</v>
      </c>
      <c r="J13" s="57">
        <f t="shared" ca="1" si="8"/>
        <v>32389.016065387063</v>
      </c>
      <c r="K13" s="57">
        <f t="shared" ca="1" si="8"/>
        <v>33892.254093240095</v>
      </c>
      <c r="L13" s="57">
        <f t="shared" ca="1" si="8"/>
        <v>34199.925018220689</v>
      </c>
    </row>
    <row r="14" spans="1:12" x14ac:dyDescent="0.3">
      <c r="B14" t="s">
        <v>78</v>
      </c>
      <c r="D14" s="41">
        <v>17598</v>
      </c>
      <c r="E14" s="41">
        <v>18264</v>
      </c>
      <c r="F14" s="41">
        <v>19671</v>
      </c>
      <c r="G14" s="101">
        <v>18087</v>
      </c>
      <c r="H14" s="43">
        <f>G14</f>
        <v>18087</v>
      </c>
      <c r="I14" s="43">
        <f>H14</f>
        <v>18087</v>
      </c>
      <c r="J14" s="43">
        <f t="shared" ref="J14:L15" si="9">I14</f>
        <v>18087</v>
      </c>
      <c r="K14" s="43">
        <f t="shared" si="9"/>
        <v>18087</v>
      </c>
      <c r="L14" s="43">
        <f t="shared" si="9"/>
        <v>18087</v>
      </c>
    </row>
    <row r="15" spans="1:12" x14ac:dyDescent="0.3">
      <c r="B15" t="s">
        <v>79</v>
      </c>
      <c r="D15" s="41">
        <v>2129</v>
      </c>
      <c r="E15" s="41">
        <v>1746</v>
      </c>
      <c r="F15" s="41">
        <v>1561</v>
      </c>
      <c r="G15" s="101">
        <v>1319</v>
      </c>
      <c r="H15" s="43">
        <f>G15</f>
        <v>1319</v>
      </c>
      <c r="I15" s="43">
        <f>H15</f>
        <v>1319</v>
      </c>
      <c r="J15" s="43">
        <f t="shared" si="9"/>
        <v>1319</v>
      </c>
      <c r="K15" s="43">
        <f t="shared" si="9"/>
        <v>1319</v>
      </c>
      <c r="L15" s="43">
        <f t="shared" si="9"/>
        <v>1319</v>
      </c>
    </row>
    <row r="16" spans="1:12" x14ac:dyDescent="0.3">
      <c r="B16" t="s">
        <v>80</v>
      </c>
      <c r="D16" s="41">
        <v>9920</v>
      </c>
      <c r="E16" s="41">
        <v>9841</v>
      </c>
      <c r="F16" s="41">
        <v>9236</v>
      </c>
      <c r="G16" s="101">
        <v>10303</v>
      </c>
      <c r="H16" s="44">
        <f>CapEx!H10</f>
        <v>10058.687886762722</v>
      </c>
      <c r="I16" s="44">
        <f>CapEx!I10</f>
        <v>9754.0668626960432</v>
      </c>
      <c r="J16" s="44">
        <f>CapEx!J10</f>
        <v>9403.1293092806081</v>
      </c>
      <c r="K16" s="44">
        <f>CapEx!K10</f>
        <v>9082.1235328866187</v>
      </c>
      <c r="L16" s="44">
        <f>CapEx!L10</f>
        <v>8708.642755718336</v>
      </c>
    </row>
    <row r="17" spans="2:20" x14ac:dyDescent="0.3">
      <c r="B17" t="s">
        <v>81</v>
      </c>
      <c r="D17" s="41">
        <v>14465</v>
      </c>
      <c r="E17" s="41">
        <v>14214</v>
      </c>
      <c r="F17" s="41">
        <v>14349</v>
      </c>
      <c r="G17" s="101">
        <v>13301</v>
      </c>
      <c r="H17" s="43">
        <f>G17</f>
        <v>13301</v>
      </c>
      <c r="I17" s="43">
        <f>H17</f>
        <v>13301</v>
      </c>
      <c r="J17" s="43">
        <f t="shared" ref="J17:L18" si="10">I17</f>
        <v>13301</v>
      </c>
      <c r="K17" s="43">
        <f t="shared" si="10"/>
        <v>13301</v>
      </c>
      <c r="L17" s="43">
        <f t="shared" si="10"/>
        <v>13301</v>
      </c>
    </row>
    <row r="18" spans="2:20" x14ac:dyDescent="0.3">
      <c r="B18" t="s">
        <v>82</v>
      </c>
      <c r="D18" s="41">
        <v>19363</v>
      </c>
      <c r="E18" s="41">
        <v>18782</v>
      </c>
      <c r="F18" s="41">
        <v>18358</v>
      </c>
      <c r="G18" s="101">
        <v>18139</v>
      </c>
      <c r="H18" s="43">
        <f>G18</f>
        <v>18139</v>
      </c>
      <c r="I18" s="43">
        <f>H18</f>
        <v>18139</v>
      </c>
      <c r="J18" s="43">
        <f t="shared" si="10"/>
        <v>18139</v>
      </c>
      <c r="K18" s="43">
        <f t="shared" si="10"/>
        <v>18139</v>
      </c>
      <c r="L18" s="43">
        <f t="shared" si="10"/>
        <v>18139</v>
      </c>
    </row>
    <row r="19" spans="2:20" ht="15" thickBot="1" x14ac:dyDescent="0.35">
      <c r="B19" t="s">
        <v>83</v>
      </c>
      <c r="D19" s="43">
        <f>D40</f>
        <v>8334</v>
      </c>
      <c r="E19" s="43">
        <f>E40</f>
        <v>7325</v>
      </c>
      <c r="F19" s="41">
        <v>7796</v>
      </c>
      <c r="G19" s="101">
        <v>13403</v>
      </c>
      <c r="H19" s="44">
        <f>CapEx!H15</f>
        <v>13349</v>
      </c>
      <c r="I19" s="44">
        <f>CapEx!I15</f>
        <v>13307</v>
      </c>
      <c r="J19" s="44">
        <f>CapEx!J15</f>
        <v>13265</v>
      </c>
      <c r="K19" s="44">
        <f>CapEx!K15</f>
        <v>13231</v>
      </c>
      <c r="L19" s="44">
        <f>CapEx!L15</f>
        <v>13197</v>
      </c>
    </row>
    <row r="20" spans="2:20" ht="15" thickBot="1" x14ac:dyDescent="0.35">
      <c r="B20" s="13" t="s">
        <v>84</v>
      </c>
      <c r="C20" s="14"/>
      <c r="D20" s="76">
        <f t="shared" ref="D20:E20" si="11">SUM(D13:D19)</f>
        <v>94354</v>
      </c>
      <c r="E20" s="76">
        <f t="shared" si="11"/>
        <v>92763</v>
      </c>
      <c r="F20" s="76">
        <f>SUM(F13:F19)</f>
        <v>97703</v>
      </c>
      <c r="G20" s="103">
        <f t="shared" ref="G20:L20" si="12">SUM(G13:G19)</f>
        <v>100549</v>
      </c>
      <c r="H20" s="76">
        <f t="shared" ca="1" si="12"/>
        <v>101060.34675125344</v>
      </c>
      <c r="I20" s="76">
        <f t="shared" ca="1" si="12"/>
        <v>103708.34022623472</v>
      </c>
      <c r="J20" s="76">
        <f t="shared" ca="1" si="12"/>
        <v>105903.14537466767</v>
      </c>
      <c r="K20" s="76">
        <f t="shared" ca="1" si="12"/>
        <v>107051.37762612672</v>
      </c>
      <c r="L20" s="76">
        <f t="shared" ca="1" si="12"/>
        <v>106951.56777393902</v>
      </c>
      <c r="T20" s="43"/>
    </row>
    <row r="21" spans="2:20" ht="15" thickTop="1" x14ac:dyDescent="0.3">
      <c r="D21" s="42"/>
      <c r="E21" s="42"/>
      <c r="F21" s="42"/>
      <c r="G21" s="104"/>
      <c r="H21" s="42"/>
      <c r="I21" s="42"/>
      <c r="J21" s="42"/>
      <c r="K21" s="42"/>
      <c r="L21" s="42"/>
      <c r="T21" s="43"/>
    </row>
    <row r="22" spans="2:20" x14ac:dyDescent="0.3">
      <c r="B22" s="18" t="s">
        <v>85</v>
      </c>
      <c r="D22" s="42"/>
      <c r="E22" s="42"/>
      <c r="F22" s="42"/>
      <c r="G22" s="104"/>
      <c r="H22" s="42"/>
      <c r="I22" s="42"/>
      <c r="J22" s="42"/>
      <c r="K22" s="42"/>
      <c r="L22" s="42"/>
    </row>
    <row r="23" spans="2:20" x14ac:dyDescent="0.3">
      <c r="B23" t="s">
        <v>86</v>
      </c>
      <c r="D23" s="42"/>
      <c r="E23" s="42"/>
      <c r="F23" s="42"/>
      <c r="G23" s="104"/>
      <c r="H23" s="42"/>
      <c r="I23" s="42"/>
      <c r="J23" s="42"/>
      <c r="K23" s="42"/>
      <c r="L23" s="42"/>
    </row>
    <row r="24" spans="2:20" x14ac:dyDescent="0.3">
      <c r="B24" t="s">
        <v>87</v>
      </c>
      <c r="D24" s="41">
        <v>14619</v>
      </c>
      <c r="E24" s="41">
        <v>15749</v>
      </c>
      <c r="F24" s="41">
        <v>15485</v>
      </c>
      <c r="G24" s="101">
        <v>21715</v>
      </c>
      <c r="H24" s="43">
        <f>H58</f>
        <v>19951.095281794358</v>
      </c>
      <c r="I24" s="43">
        <f>I58</f>
        <v>21803.093234374202</v>
      </c>
      <c r="J24" s="43">
        <f>J58</f>
        <v>23731.439478049269</v>
      </c>
      <c r="K24" s="43">
        <f>K58</f>
        <v>25824.72458265875</v>
      </c>
      <c r="L24" s="43">
        <f>L58</f>
        <v>27998.102638760058</v>
      </c>
    </row>
    <row r="25" spans="2:20" x14ac:dyDescent="0.3">
      <c r="B25" t="s">
        <v>88</v>
      </c>
      <c r="D25" s="41">
        <v>3307</v>
      </c>
      <c r="E25" s="41">
        <v>2373</v>
      </c>
      <c r="F25" s="41">
        <v>4557</v>
      </c>
      <c r="G25" s="101">
        <v>1499</v>
      </c>
      <c r="H25" s="44">
        <f>Debt!D17</f>
        <v>2893.8059209605049</v>
      </c>
      <c r="I25" s="44">
        <f>Debt!E17</f>
        <v>2422.5483947384541</v>
      </c>
      <c r="J25" s="44">
        <f>Debt!F17</f>
        <v>2301.8120450379402</v>
      </c>
      <c r="K25" s="44">
        <f>Debt!G17</f>
        <v>1944.7572664812783</v>
      </c>
      <c r="L25" s="44">
        <f>Debt!H17</f>
        <v>1494.9770848953681</v>
      </c>
    </row>
    <row r="26" spans="2:20" x14ac:dyDescent="0.3">
      <c r="B26" t="s">
        <v>89</v>
      </c>
      <c r="D26" s="41">
        <v>1338</v>
      </c>
      <c r="E26" s="41">
        <v>399</v>
      </c>
      <c r="F26" s="41">
        <v>1960</v>
      </c>
      <c r="G26" s="101">
        <v>648</v>
      </c>
      <c r="H26" s="44">
        <f>-Debt!E8</f>
        <v>1803</v>
      </c>
      <c r="I26" s="44">
        <f>-Debt!F8</f>
        <v>5064</v>
      </c>
      <c r="J26" s="44">
        <f>-Debt!G8</f>
        <v>2786</v>
      </c>
      <c r="K26" s="44">
        <f>-Debt!H8</f>
        <v>2684</v>
      </c>
      <c r="L26" s="44">
        <f>K26</f>
        <v>2684</v>
      </c>
    </row>
    <row r="27" spans="2:20" x14ac:dyDescent="0.3">
      <c r="B27" t="s">
        <v>90</v>
      </c>
      <c r="D27" s="41">
        <v>686</v>
      </c>
      <c r="E27" s="41">
        <v>1203</v>
      </c>
      <c r="F27" s="41">
        <v>1569</v>
      </c>
      <c r="G27" s="101">
        <v>1387</v>
      </c>
      <c r="H27" s="43">
        <f ca="1">H61</f>
        <v>1400.4883439674907</v>
      </c>
      <c r="I27" s="43">
        <f ca="1">I61</f>
        <v>1548.1081094593856</v>
      </c>
      <c r="J27" s="43">
        <f ca="1">J61</f>
        <v>1715.6548096086181</v>
      </c>
      <c r="K27" s="43">
        <f ca="1">K61</f>
        <v>1887.0882456346935</v>
      </c>
      <c r="L27" s="43">
        <f ca="1">L61</f>
        <v>2062.2053446854507</v>
      </c>
    </row>
    <row r="28" spans="2:20" x14ac:dyDescent="0.3">
      <c r="B28" s="11" t="s">
        <v>91</v>
      </c>
      <c r="C28" s="12"/>
      <c r="D28" s="57">
        <f t="shared" ref="D28:L28" si="13">SUM(D24:D27)</f>
        <v>19950</v>
      </c>
      <c r="E28" s="57">
        <f t="shared" si="13"/>
        <v>19724</v>
      </c>
      <c r="F28" s="57">
        <f t="shared" si="13"/>
        <v>23571</v>
      </c>
      <c r="G28" s="102">
        <f t="shared" si="13"/>
        <v>25249</v>
      </c>
      <c r="H28" s="57">
        <f t="shared" ca="1" si="13"/>
        <v>26048.389546722356</v>
      </c>
      <c r="I28" s="57">
        <f t="shared" ca="1" si="13"/>
        <v>30837.749738572042</v>
      </c>
      <c r="J28" s="57">
        <f t="shared" ca="1" si="13"/>
        <v>30534.906332695828</v>
      </c>
      <c r="K28" s="57">
        <f t="shared" ca="1" si="13"/>
        <v>32340.570094774725</v>
      </c>
      <c r="L28" s="57">
        <f t="shared" ca="1" si="13"/>
        <v>34239.285068340876</v>
      </c>
    </row>
    <row r="29" spans="2:20" x14ac:dyDescent="0.3">
      <c r="B29" t="s">
        <v>92</v>
      </c>
      <c r="D29" s="41">
        <v>38116</v>
      </c>
      <c r="E29" s="41">
        <v>36377</v>
      </c>
      <c r="F29" s="41">
        <v>35547</v>
      </c>
      <c r="G29" s="101">
        <v>42375</v>
      </c>
      <c r="H29" s="44">
        <f>Debt!D11</f>
        <v>38077.648335190359</v>
      </c>
      <c r="I29" s="44">
        <f>Debt!E11</f>
        <v>31876.687092827931</v>
      </c>
      <c r="J29" s="44">
        <f>Debt!F11</f>
        <v>30287.998566112641</v>
      </c>
      <c r="K29" s="44">
        <f>Debt!G11</f>
        <v>25589.754569926761</v>
      </c>
      <c r="L29" s="44">
        <f>Debt!H11</f>
        <v>19671.399279229954</v>
      </c>
    </row>
    <row r="30" spans="2:20" x14ac:dyDescent="0.3">
      <c r="B30" t="s">
        <v>93</v>
      </c>
      <c r="D30" s="41">
        <v>8607</v>
      </c>
      <c r="E30" s="41">
        <v>7922</v>
      </c>
      <c r="F30" s="41">
        <v>8466</v>
      </c>
      <c r="G30" s="101">
        <v>4084</v>
      </c>
      <c r="H30" s="43">
        <f>G30</f>
        <v>4084</v>
      </c>
      <c r="I30" s="43">
        <f t="shared" ref="I30:L30" si="14">H30</f>
        <v>4084</v>
      </c>
      <c r="J30" s="43">
        <f t="shared" si="14"/>
        <v>4084</v>
      </c>
      <c r="K30" s="43">
        <f t="shared" si="14"/>
        <v>4084</v>
      </c>
      <c r="L30" s="43">
        <f t="shared" si="14"/>
        <v>4084</v>
      </c>
    </row>
    <row r="31" spans="2:20" x14ac:dyDescent="0.3">
      <c r="B31" t="s">
        <v>94</v>
      </c>
      <c r="D31" s="41">
        <v>2821</v>
      </c>
      <c r="E31" s="41">
        <v>2914</v>
      </c>
      <c r="F31" s="41">
        <v>2639</v>
      </c>
      <c r="G31" s="101">
        <v>2469</v>
      </c>
      <c r="H31" s="43">
        <f>G31</f>
        <v>2469</v>
      </c>
      <c r="I31" s="43">
        <f>H31</f>
        <v>2469</v>
      </c>
      <c r="J31" s="43">
        <f t="shared" ref="J31:L31" si="15">I31</f>
        <v>2469</v>
      </c>
      <c r="K31" s="43">
        <f t="shared" si="15"/>
        <v>2469</v>
      </c>
      <c r="L31" s="43">
        <f t="shared" si="15"/>
        <v>2469</v>
      </c>
    </row>
    <row r="32" spans="2:20" x14ac:dyDescent="0.3">
      <c r="B32" s="11" t="s">
        <v>95</v>
      </c>
      <c r="C32" s="12"/>
      <c r="D32" s="58">
        <v>22999</v>
      </c>
      <c r="E32" s="58">
        <v>24105</v>
      </c>
      <c r="F32" s="58">
        <v>25941</v>
      </c>
      <c r="G32" s="105">
        <v>24856</v>
      </c>
      <c r="H32" s="57">
        <f ca="1">G32+'P&amp;L'!H46-'P&amp;L'!H65</f>
        <v>28844.024027113759</v>
      </c>
      <c r="I32" s="57">
        <f ca="1">H32+'P&amp;L'!I46-'P&amp;L'!I65</f>
        <v>32880.090161956032</v>
      </c>
      <c r="J32" s="57">
        <f ca="1">I32+'P&amp;L'!J46-'P&amp;L'!J65</f>
        <v>36940.352451215338</v>
      </c>
      <c r="K32" s="57">
        <f ca="1">J32+'P&amp;L'!K46-'P&amp;L'!K65</f>
        <v>40952.484672679428</v>
      </c>
      <c r="L32" s="57">
        <f ca="1">K32+'P&amp;L'!L46-'P&amp;L'!L65</f>
        <v>44840.973416293331</v>
      </c>
    </row>
    <row r="33" spans="2:14" x14ac:dyDescent="0.3">
      <c r="B33" t="s">
        <v>96</v>
      </c>
      <c r="D33" s="41">
        <v>1861</v>
      </c>
      <c r="E33" s="41">
        <v>1721</v>
      </c>
      <c r="F33" s="41">
        <v>1539</v>
      </c>
      <c r="G33" s="101">
        <v>1516</v>
      </c>
      <c r="H33" s="42">
        <f ca="1">G33+'P&amp;L'!H45</f>
        <v>1537.2848422269608</v>
      </c>
      <c r="I33" s="42">
        <f ca="1">H33+'P&amp;L'!I45</f>
        <v>1560.8132328787337</v>
      </c>
      <c r="J33" s="42">
        <f ca="1">I33+'P&amp;L'!J45</f>
        <v>1586.8880246438653</v>
      </c>
      <c r="K33" s="42">
        <f ca="1">J33+'P&amp;L'!K45</f>
        <v>1615.5682887458129</v>
      </c>
      <c r="L33" s="42">
        <f ca="1">K33+'P&amp;L'!L45</f>
        <v>1646.9100100748726</v>
      </c>
    </row>
    <row r="34" spans="2:14" ht="15" thickBot="1" x14ac:dyDescent="0.35">
      <c r="B34" s="11" t="s">
        <v>97</v>
      </c>
      <c r="C34" s="12"/>
      <c r="D34" s="57">
        <f t="shared" ref="D34:E34" si="16">SUM(D32:D33)</f>
        <v>24860</v>
      </c>
      <c r="E34" s="57">
        <f t="shared" si="16"/>
        <v>25826</v>
      </c>
      <c r="F34" s="57">
        <f>SUM(F32:F33)</f>
        <v>27480</v>
      </c>
      <c r="G34" s="102">
        <f t="shared" ref="G34:L34" si="17">SUM(G32:G33)</f>
        <v>26372</v>
      </c>
      <c r="H34" s="57">
        <f t="shared" ca="1" si="17"/>
        <v>30381.308869340719</v>
      </c>
      <c r="I34" s="57">
        <f t="shared" ca="1" si="17"/>
        <v>34440.903394834764</v>
      </c>
      <c r="J34" s="57">
        <f t="shared" ca="1" si="17"/>
        <v>38527.240475859202</v>
      </c>
      <c r="K34" s="57">
        <f t="shared" ca="1" si="17"/>
        <v>42568.052961425237</v>
      </c>
      <c r="L34" s="57">
        <f t="shared" ca="1" si="17"/>
        <v>46487.8834263682</v>
      </c>
    </row>
    <row r="35" spans="2:14" ht="15" thickBot="1" x14ac:dyDescent="0.35">
      <c r="B35" s="13" t="s">
        <v>98</v>
      </c>
      <c r="C35" s="13"/>
      <c r="D35" s="76">
        <f t="shared" ref="D35:E35" si="18">SUM(D34,D28:D31)</f>
        <v>94354</v>
      </c>
      <c r="E35" s="76">
        <f t="shared" si="18"/>
        <v>92763</v>
      </c>
      <c r="F35" s="76">
        <f>SUM(F34,F28:F31)</f>
        <v>97703</v>
      </c>
      <c r="G35" s="103">
        <f t="shared" ref="G35:L35" si="19">SUM(G34,G28:G31)</f>
        <v>100549</v>
      </c>
      <c r="H35" s="76">
        <f t="shared" ca="1" si="19"/>
        <v>101060.34675125344</v>
      </c>
      <c r="I35" s="76">
        <f t="shared" ca="1" si="19"/>
        <v>103708.34022623474</v>
      </c>
      <c r="J35" s="76">
        <f t="shared" ca="1" si="19"/>
        <v>105903.14537466767</v>
      </c>
      <c r="K35" s="76">
        <f t="shared" ca="1" si="19"/>
        <v>107051.37762612672</v>
      </c>
      <c r="L35" s="76">
        <f t="shared" ca="1" si="19"/>
        <v>106951.56777393902</v>
      </c>
    </row>
    <row r="36" spans="2:14" ht="15" thickTop="1" x14ac:dyDescent="0.3">
      <c r="D36" s="42"/>
      <c r="E36" s="42"/>
      <c r="F36" s="42"/>
      <c r="G36" s="104"/>
      <c r="H36" s="42"/>
      <c r="I36" s="42"/>
      <c r="J36" s="42"/>
      <c r="K36" s="42"/>
      <c r="L36" s="42"/>
    </row>
    <row r="37" spans="2:14" x14ac:dyDescent="0.3">
      <c r="B37" s="59" t="s">
        <v>116</v>
      </c>
      <c r="C37" s="60"/>
      <c r="D37" s="61">
        <f t="shared" ref="D37:L37" si="20">D20-D35</f>
        <v>0</v>
      </c>
      <c r="E37" s="61">
        <f t="shared" si="20"/>
        <v>0</v>
      </c>
      <c r="F37" s="61">
        <f t="shared" si="20"/>
        <v>0</v>
      </c>
      <c r="G37" s="106">
        <f t="shared" si="20"/>
        <v>0</v>
      </c>
      <c r="H37" s="61">
        <f t="shared" ca="1" si="20"/>
        <v>0</v>
      </c>
      <c r="I37" s="61">
        <f t="shared" ca="1" si="20"/>
        <v>0</v>
      </c>
      <c r="J37" s="61">
        <f t="shared" ca="1" si="20"/>
        <v>0</v>
      </c>
      <c r="K37" s="61">
        <f t="shared" ca="1" si="20"/>
        <v>0</v>
      </c>
      <c r="L37" s="61">
        <f t="shared" ca="1" si="20"/>
        <v>0</v>
      </c>
    </row>
    <row r="38" spans="2:14" x14ac:dyDescent="0.3">
      <c r="B38" s="3"/>
      <c r="D38" s="45"/>
      <c r="E38" s="45"/>
      <c r="F38" s="45"/>
      <c r="G38" s="107"/>
      <c r="H38" s="45"/>
      <c r="I38" s="45"/>
      <c r="J38" s="45"/>
      <c r="K38" s="45"/>
      <c r="L38" s="45"/>
    </row>
    <row r="39" spans="2:14" x14ac:dyDescent="0.3">
      <c r="B39" s="18" t="s">
        <v>103</v>
      </c>
      <c r="D39" s="42"/>
      <c r="E39" s="42"/>
      <c r="F39" s="42"/>
      <c r="G39" s="104"/>
      <c r="H39" s="42"/>
      <c r="I39" s="42"/>
      <c r="J39" s="42"/>
      <c r="K39" s="42"/>
      <c r="L39" s="42"/>
    </row>
    <row r="40" spans="2:14" x14ac:dyDescent="0.3">
      <c r="B40" s="18" t="s">
        <v>99</v>
      </c>
      <c r="D40" s="42">
        <f>SUM(D41:D43)</f>
        <v>8334</v>
      </c>
      <c r="E40" s="42">
        <f>SUM(E41:E43)</f>
        <v>7325</v>
      </c>
      <c r="F40" s="42"/>
      <c r="G40" s="104"/>
      <c r="H40" s="42"/>
      <c r="I40" s="42"/>
      <c r="J40" s="42"/>
      <c r="K40" s="42"/>
      <c r="L40" s="42"/>
    </row>
    <row r="41" spans="2:14" x14ac:dyDescent="0.3">
      <c r="B41" t="s">
        <v>100</v>
      </c>
      <c r="D41" s="41">
        <v>818</v>
      </c>
      <c r="E41" s="41">
        <v>501</v>
      </c>
      <c r="F41" s="41">
        <v>118</v>
      </c>
      <c r="G41" s="108">
        <f t="shared" ref="G41:L41" si="21">F41</f>
        <v>118</v>
      </c>
      <c r="H41" s="43">
        <f t="shared" si="21"/>
        <v>118</v>
      </c>
      <c r="I41" s="43">
        <f t="shared" si="21"/>
        <v>118</v>
      </c>
      <c r="J41" s="43">
        <f t="shared" si="21"/>
        <v>118</v>
      </c>
      <c r="K41" s="43">
        <f t="shared" si="21"/>
        <v>118</v>
      </c>
      <c r="L41" s="43">
        <f t="shared" si="21"/>
        <v>118</v>
      </c>
      <c r="N41" s="43"/>
    </row>
    <row r="42" spans="2:14" x14ac:dyDescent="0.3">
      <c r="B42" t="s">
        <v>83</v>
      </c>
      <c r="D42" s="41">
        <v>6731</v>
      </c>
      <c r="E42" s="41">
        <v>6189</v>
      </c>
      <c r="F42" s="42"/>
      <c r="G42" s="104"/>
      <c r="H42" s="42"/>
      <c r="I42" s="42"/>
      <c r="J42" s="42"/>
      <c r="K42" s="42"/>
      <c r="L42" s="42"/>
      <c r="N42" s="43"/>
    </row>
    <row r="43" spans="2:14" x14ac:dyDescent="0.3">
      <c r="B43" t="s">
        <v>101</v>
      </c>
      <c r="D43" s="41">
        <v>785</v>
      </c>
      <c r="E43" s="41">
        <v>635</v>
      </c>
      <c r="F43" s="42"/>
      <c r="G43" s="104"/>
      <c r="H43" s="42"/>
      <c r="I43" s="42"/>
      <c r="J43" s="42"/>
      <c r="K43" s="42"/>
      <c r="L43" s="42"/>
      <c r="N43" s="43"/>
    </row>
    <row r="44" spans="2:14" x14ac:dyDescent="0.3">
      <c r="D44" s="42"/>
      <c r="E44" s="42"/>
      <c r="F44" s="42"/>
      <c r="G44" s="104"/>
      <c r="H44" s="42"/>
      <c r="I44" s="42"/>
      <c r="J44" s="42"/>
      <c r="K44" s="42"/>
      <c r="L44" s="42"/>
      <c r="N44" s="43"/>
    </row>
    <row r="45" spans="2:14" x14ac:dyDescent="0.3">
      <c r="B45" s="64" t="s">
        <v>104</v>
      </c>
      <c r="D45" s="42"/>
      <c r="E45" s="42"/>
      <c r="F45" s="42"/>
      <c r="G45" s="104"/>
      <c r="H45" s="42"/>
      <c r="I45" s="42"/>
      <c r="J45" s="42"/>
      <c r="K45" s="42"/>
      <c r="L45" s="42"/>
      <c r="N45" s="43"/>
    </row>
    <row r="46" spans="2:14" x14ac:dyDescent="0.3">
      <c r="B46" t="s">
        <v>102</v>
      </c>
      <c r="D46" s="43">
        <f>D10</f>
        <v>3512</v>
      </c>
      <c r="E46" s="43">
        <f>E10</f>
        <v>3487</v>
      </c>
      <c r="F46" s="43">
        <f>F10</f>
        <v>3410</v>
      </c>
      <c r="G46" s="108">
        <f>G10</f>
        <v>3569</v>
      </c>
      <c r="H46" s="42">
        <f>'P&amp;L'!H8/H47</f>
        <v>3728.9509305990218</v>
      </c>
      <c r="I46" s="42">
        <f>'P&amp;L'!I8/I47</f>
        <v>3866.0354975720261</v>
      </c>
      <c r="J46" s="42">
        <f>'P&amp;L'!J8/J47</f>
        <v>3980.4094191973113</v>
      </c>
      <c r="K46" s="42">
        <f>'P&amp;L'!K8/K47</f>
        <v>4083.8860530096417</v>
      </c>
      <c r="L46" s="42">
        <f>'P&amp;L'!L8/L47</f>
        <v>4159.1169178550908</v>
      </c>
      <c r="N46" s="43"/>
    </row>
    <row r="47" spans="2:14" x14ac:dyDescent="0.3">
      <c r="B47" t="s">
        <v>105</v>
      </c>
      <c r="D47" s="42">
        <f>'P&amp;L'!D8/'Balance Sheet'!D46</f>
        <v>11.007403189066059</v>
      </c>
      <c r="E47" s="42">
        <f>'P&amp;L'!E8/'Balance Sheet'!E46</f>
        <v>12.344708918841411</v>
      </c>
      <c r="F47" s="42">
        <f>'P&amp;L'!F8/'Balance Sheet'!F46</f>
        <v>13.426392961876832</v>
      </c>
      <c r="G47" s="104">
        <f>'P&amp;L'!G8/'Balance Sheet'!G46</f>
        <v>13.140095264780051</v>
      </c>
      <c r="H47" s="42">
        <f>365/H48</f>
        <v>13.814213752811078</v>
      </c>
      <c r="I47" s="42">
        <f t="shared" ref="I47:L47" si="22">365/I48</f>
        <v>14.561240404244563</v>
      </c>
      <c r="J47" s="42">
        <f t="shared" si="22"/>
        <v>15.393679289179028</v>
      </c>
      <c r="K47" s="42">
        <f t="shared" si="22"/>
        <v>16.327067189390068</v>
      </c>
      <c r="L47" s="42">
        <f t="shared" si="22"/>
        <v>17.38095238095238</v>
      </c>
      <c r="N47" s="43"/>
    </row>
    <row r="48" spans="2:14" x14ac:dyDescent="0.3">
      <c r="B48" t="s">
        <v>106</v>
      </c>
      <c r="D48" s="38">
        <f>365/D47</f>
        <v>33.159501267525478</v>
      </c>
      <c r="E48" s="38">
        <f t="shared" ref="E48:G48" si="23">365/E47</f>
        <v>29.567323328532268</v>
      </c>
      <c r="F48" s="38">
        <f t="shared" si="23"/>
        <v>27.18526122662939</v>
      </c>
      <c r="G48" s="109">
        <f t="shared" si="23"/>
        <v>27.777576390813909</v>
      </c>
      <c r="H48" s="38">
        <f>G48-(($G$48-$L$48)/5)</f>
        <v>26.422061112651129</v>
      </c>
      <c r="I48" s="38">
        <f t="shared" ref="I48:K48" si="24">H48-(($G$48-$L$48)/5)</f>
        <v>25.066545834488348</v>
      </c>
      <c r="J48" s="38">
        <f t="shared" si="24"/>
        <v>23.711030556325568</v>
      </c>
      <c r="K48" s="38">
        <f t="shared" si="24"/>
        <v>22.355515278162787</v>
      </c>
      <c r="L48" s="40">
        <v>21</v>
      </c>
      <c r="N48" s="43"/>
    </row>
    <row r="49" spans="2:14" x14ac:dyDescent="0.3">
      <c r="B49" s="37"/>
      <c r="G49" s="10"/>
      <c r="N49" s="43"/>
    </row>
    <row r="50" spans="2:14" x14ac:dyDescent="0.3">
      <c r="B50" t="s">
        <v>107</v>
      </c>
      <c r="D50" s="43">
        <f>D11</f>
        <v>3414</v>
      </c>
      <c r="E50" s="43">
        <f>E11</f>
        <v>4233</v>
      </c>
      <c r="F50" s="43">
        <f>F11</f>
        <v>4424</v>
      </c>
      <c r="G50" s="108">
        <f>G11</f>
        <v>4728</v>
      </c>
      <c r="H50" s="42">
        <f>'P&amp;L'!H12/H51</f>
        <v>5415.7088937495091</v>
      </c>
      <c r="I50" s="42">
        <f>'P&amp;L'!I12/I51</f>
        <v>5986.0228195149029</v>
      </c>
      <c r="J50" s="42">
        <f>'P&amp;L'!J12/J51</f>
        <v>6589.0173463293822</v>
      </c>
      <c r="K50" s="42">
        <f>'P&amp;L'!K12/K51</f>
        <v>7250.2742671114765</v>
      </c>
      <c r="L50" s="42">
        <f>'P&amp;L'!L12/L51</f>
        <v>7947.2440764952353</v>
      </c>
      <c r="N50" s="43"/>
    </row>
    <row r="51" spans="2:14" x14ac:dyDescent="0.3">
      <c r="B51" t="s">
        <v>108</v>
      </c>
      <c r="D51" s="42">
        <f>'P&amp;L'!D12/'Balance Sheet'!D50</f>
        <v>4.5137668424135908</v>
      </c>
      <c r="E51" s="42">
        <f>'P&amp;L'!E12/'Balance Sheet'!E50</f>
        <v>4.2090715804394048</v>
      </c>
      <c r="F51" s="42">
        <f>'P&amp;L'!F12/'Balance Sheet'!F50</f>
        <v>4.1738245931283906</v>
      </c>
      <c r="G51" s="104">
        <f>'P&amp;L'!G12/'Balance Sheet'!G50</f>
        <v>3.8608291032148898</v>
      </c>
      <c r="H51" s="42">
        <f>365/H52</f>
        <v>3.8167370890943002</v>
      </c>
      <c r="I51" s="42">
        <f t="shared" ref="I51:L51" si="25">365/I52</f>
        <v>3.7736407958350511</v>
      </c>
      <c r="J51" s="42">
        <f t="shared" si="25"/>
        <v>3.7315068707967614</v>
      </c>
      <c r="K51" s="42">
        <f t="shared" si="25"/>
        <v>3.690303434463384</v>
      </c>
      <c r="L51" s="42">
        <f t="shared" si="25"/>
        <v>3.65</v>
      </c>
      <c r="N51" s="43"/>
    </row>
    <row r="52" spans="2:14" x14ac:dyDescent="0.3">
      <c r="B52" t="s">
        <v>109</v>
      </c>
      <c r="D52" s="38">
        <f>365/D51</f>
        <v>80.863724853990917</v>
      </c>
      <c r="E52" s="38">
        <f t="shared" ref="E52:G52" si="26">365/E51</f>
        <v>86.717460851995284</v>
      </c>
      <c r="F52" s="38">
        <f t="shared" si="26"/>
        <v>87.449769834822632</v>
      </c>
      <c r="G52" s="109">
        <f t="shared" si="26"/>
        <v>94.53927906212337</v>
      </c>
      <c r="H52" s="38">
        <f>G52-(($G$52-$L$52)/5)</f>
        <v>95.631423249698699</v>
      </c>
      <c r="I52" s="38">
        <f t="shared" ref="I52:K52" si="27">H52-(($G$52-$L$52)/5)</f>
        <v>96.723567437274028</v>
      </c>
      <c r="J52" s="38">
        <f t="shared" si="27"/>
        <v>97.815711624849357</v>
      </c>
      <c r="K52" s="38">
        <f t="shared" si="27"/>
        <v>98.907855812424685</v>
      </c>
      <c r="L52" s="40">
        <v>100</v>
      </c>
      <c r="N52" s="43"/>
    </row>
    <row r="53" spans="2:14" x14ac:dyDescent="0.3">
      <c r="B53" s="37"/>
      <c r="G53" s="10"/>
      <c r="N53" s="43"/>
    </row>
    <row r="54" spans="2:14" x14ac:dyDescent="0.3">
      <c r="B54" t="s">
        <v>110</v>
      </c>
      <c r="D54" s="43">
        <f>D12</f>
        <v>2994</v>
      </c>
      <c r="E54" s="43">
        <f>E12</f>
        <v>3240</v>
      </c>
      <c r="F54" s="43">
        <f>F12</f>
        <v>5235</v>
      </c>
      <c r="G54" s="108">
        <f>G12</f>
        <v>3129</v>
      </c>
      <c r="H54" s="42">
        <f>SUM('P&amp;L'!H12,'P&amp;L'!H17)*H55</f>
        <v>3480.6508666103323</v>
      </c>
      <c r="I54" s="42">
        <f>SUM('P&amp;L'!I12,'P&amp;L'!I17)*I55</f>
        <v>3803.748831286478</v>
      </c>
      <c r="J54" s="42">
        <f>SUM('P&amp;L'!J12,'P&amp;L'!J17)*J55</f>
        <v>4140.166452944427</v>
      </c>
      <c r="K54" s="42">
        <f>SUM('P&amp;L'!K12,'P&amp;L'!K17)*K55</f>
        <v>4505.3591659515196</v>
      </c>
      <c r="L54" s="42">
        <f>SUM('P&amp;L'!L12,'P&amp;L'!L17)*L55</f>
        <v>4884.5248261618572</v>
      </c>
      <c r="N54" s="43"/>
    </row>
    <row r="55" spans="2:14" x14ac:dyDescent="0.3">
      <c r="B55" s="3" t="s">
        <v>111</v>
      </c>
      <c r="D55" s="28">
        <f>D54/SUM('P&amp;L'!D12,'P&amp;L'!D17)</f>
        <v>0.10867908091037787</v>
      </c>
      <c r="E55" s="28">
        <f>E54/SUM('P&amp;L'!E12,'P&amp;L'!E17)</f>
        <v>0.10553402169310445</v>
      </c>
      <c r="F55" s="28">
        <f>F54/SUM('P&amp;L'!F12,'P&amp;L'!F17)</f>
        <v>0.16133505917159763</v>
      </c>
      <c r="G55" s="97">
        <f>G54/SUM('P&amp;L'!G12,'P&amp;L'!G17)</f>
        <v>9.5361453126904791E-2</v>
      </c>
      <c r="H55" s="47">
        <f>G55</f>
        <v>9.5361453126904791E-2</v>
      </c>
      <c r="I55" s="47">
        <f t="shared" ref="I55:L55" si="28">H55</f>
        <v>9.5361453126904791E-2</v>
      </c>
      <c r="J55" s="47">
        <f t="shared" si="28"/>
        <v>9.5361453126904791E-2</v>
      </c>
      <c r="K55" s="47">
        <f t="shared" si="28"/>
        <v>9.5361453126904791E-2</v>
      </c>
      <c r="L55" s="47">
        <f t="shared" si="28"/>
        <v>9.5361453126904791E-2</v>
      </c>
      <c r="N55" s="43"/>
    </row>
    <row r="56" spans="2:14" x14ac:dyDescent="0.3">
      <c r="G56" s="10"/>
      <c r="N56" s="43"/>
    </row>
    <row r="57" spans="2:14" x14ac:dyDescent="0.3">
      <c r="B57" s="18" t="s">
        <v>112</v>
      </c>
      <c r="G57" s="10"/>
      <c r="N57" s="43"/>
    </row>
    <row r="58" spans="2:14" x14ac:dyDescent="0.3">
      <c r="B58" t="s">
        <v>87</v>
      </c>
      <c r="D58" s="43">
        <f>D24</f>
        <v>14619</v>
      </c>
      <c r="E58" s="43">
        <f>E24</f>
        <v>15749</v>
      </c>
      <c r="F58" s="43">
        <f>F24</f>
        <v>15485</v>
      </c>
      <c r="G58" s="108">
        <f>G24</f>
        <v>21715</v>
      </c>
      <c r="H58" s="42">
        <f>H59*'P&amp;L'!H12</f>
        <v>19951.095281794358</v>
      </c>
      <c r="I58" s="42">
        <f>I59*'P&amp;L'!I12</f>
        <v>21803.093234374202</v>
      </c>
      <c r="J58" s="42">
        <f>J59*'P&amp;L'!J12</f>
        <v>23731.439478049269</v>
      </c>
      <c r="K58" s="42">
        <f>K59*'P&amp;L'!K12</f>
        <v>25824.72458265875</v>
      </c>
      <c r="L58" s="42">
        <f>L59*'P&amp;L'!L12</f>
        <v>27998.102638760058</v>
      </c>
      <c r="N58" s="43"/>
    </row>
    <row r="59" spans="2:14" x14ac:dyDescent="0.3">
      <c r="B59" s="3" t="s">
        <v>113</v>
      </c>
      <c r="D59" s="28">
        <f>D58/'P&amp;L'!D12</f>
        <v>0.94866969500324461</v>
      </c>
      <c r="E59" s="28">
        <f>E58/'P&amp;L'!E12</f>
        <v>0.88393107706123364</v>
      </c>
      <c r="F59" s="28">
        <f>F58/'P&amp;L'!F12</f>
        <v>0.83861359328459251</v>
      </c>
      <c r="G59" s="97">
        <f>G58/'P&amp;L'!G12</f>
        <v>1.1896022789525584</v>
      </c>
      <c r="H59" s="48">
        <f>AVERAGE($D$59:$G$59)</f>
        <v>0.96520416107540741</v>
      </c>
      <c r="I59" s="47">
        <f>H59</f>
        <v>0.96520416107540741</v>
      </c>
      <c r="J59" s="47">
        <f t="shared" ref="J59:L59" si="29">I59</f>
        <v>0.96520416107540741</v>
      </c>
      <c r="K59" s="47">
        <f t="shared" si="29"/>
        <v>0.96520416107540741</v>
      </c>
      <c r="L59" s="47">
        <f t="shared" si="29"/>
        <v>0.96520416107540741</v>
      </c>
      <c r="N59" s="43"/>
    </row>
    <row r="60" spans="2:14" x14ac:dyDescent="0.3">
      <c r="G60" s="10"/>
      <c r="N60" s="43"/>
    </row>
    <row r="61" spans="2:14" x14ac:dyDescent="0.3">
      <c r="B61" t="s">
        <v>114</v>
      </c>
      <c r="D61" s="43">
        <f>D27</f>
        <v>686</v>
      </c>
      <c r="E61" s="43">
        <f>E27</f>
        <v>1203</v>
      </c>
      <c r="F61" s="43">
        <f>F27</f>
        <v>1569</v>
      </c>
      <c r="G61" s="108">
        <f>G27</f>
        <v>1387</v>
      </c>
      <c r="H61" s="42">
        <f ca="1">H62*'P&amp;L'!H43</f>
        <v>1400.4883439674907</v>
      </c>
      <c r="I61" s="42">
        <f ca="1">I62*'P&amp;L'!I43</f>
        <v>1548.1081094593856</v>
      </c>
      <c r="J61" s="42">
        <f ca="1">J62*'P&amp;L'!J43</f>
        <v>1715.6548096086181</v>
      </c>
      <c r="K61" s="42">
        <f ca="1">K62*'P&amp;L'!K43</f>
        <v>1887.0882456346935</v>
      </c>
      <c r="L61" s="42">
        <f ca="1">L62*'P&amp;L'!L43</f>
        <v>2062.2053446854507</v>
      </c>
      <c r="N61" s="43"/>
    </row>
    <row r="62" spans="2:14" x14ac:dyDescent="0.3">
      <c r="B62" s="3" t="s">
        <v>115</v>
      </c>
      <c r="D62" s="28">
        <f>D61/'P&amp;L'!D43</f>
        <v>0.2972270363951473</v>
      </c>
      <c r="E62" s="28">
        <f>E61/'P&amp;L'!E43</f>
        <v>0.47269155206286839</v>
      </c>
      <c r="F62" s="28">
        <f>F61/'P&amp;L'!F43</f>
        <v>0.57325538911216656</v>
      </c>
      <c r="G62" s="97">
        <f>G61/'P&amp;L'!G43</f>
        <v>0.48632538569424966</v>
      </c>
      <c r="H62" s="48">
        <f>AVERAGE($D$62:$G$62)</f>
        <v>0.45737484081610802</v>
      </c>
      <c r="I62" s="47">
        <f>H62</f>
        <v>0.45737484081610802</v>
      </c>
      <c r="J62" s="47">
        <f t="shared" ref="J62:L62" si="30">I62</f>
        <v>0.45737484081610802</v>
      </c>
      <c r="K62" s="47">
        <f t="shared" si="30"/>
        <v>0.45737484081610802</v>
      </c>
      <c r="L62" s="47">
        <f t="shared" si="30"/>
        <v>0.45737484081610802</v>
      </c>
      <c r="N62" s="43"/>
    </row>
    <row r="63" spans="2:14" x14ac:dyDescent="0.3">
      <c r="B63" s="3"/>
      <c r="D63" s="28"/>
      <c r="E63" s="28"/>
      <c r="F63" s="28"/>
      <c r="G63" s="97"/>
      <c r="H63" s="48"/>
      <c r="I63" s="47"/>
      <c r="J63" s="47"/>
      <c r="K63" s="47"/>
      <c r="L63" s="47"/>
      <c r="N63" s="43"/>
    </row>
    <row r="64" spans="2:14" x14ac:dyDescent="0.3">
      <c r="B64" t="s">
        <v>123</v>
      </c>
      <c r="D64" s="42">
        <f>SUM(D29,D26)/'P&amp;L'!D62</f>
        <v>3.1409919592389142</v>
      </c>
      <c r="E64" s="42">
        <f>SUM(E29,E26)/'P&amp;L'!E62</f>
        <v>2.7031238515251745</v>
      </c>
      <c r="F64" s="42">
        <f>SUM(F29,F26)/'P&amp;L'!F62</f>
        <v>2.5931277654867255</v>
      </c>
      <c r="G64" s="104">
        <f>SUM(G29,G26)/'P&amp;L'!G62</f>
        <v>2.8379287598944591</v>
      </c>
      <c r="H64" s="42">
        <f>G64-($G$64-$L$64)/5</f>
        <v>2.4703430079155675</v>
      </c>
      <c r="I64" s="42">
        <f t="shared" ref="I64:K64" si="31">H64-($G$64-$L$64)/5</f>
        <v>2.1027572559366758</v>
      </c>
      <c r="J64" s="42">
        <f t="shared" si="31"/>
        <v>1.735171503957784</v>
      </c>
      <c r="K64" s="42">
        <f t="shared" si="31"/>
        <v>1.3675857519788921</v>
      </c>
      <c r="L64" s="41">
        <v>1</v>
      </c>
      <c r="N64" s="43"/>
    </row>
    <row r="65" spans="1:14" x14ac:dyDescent="0.3">
      <c r="A65" t="s">
        <v>7</v>
      </c>
      <c r="B65" s="3" t="s">
        <v>126</v>
      </c>
      <c r="C65" s="3"/>
      <c r="D65" s="28">
        <f>D25/D29</f>
        <v>8.676146500157414E-2</v>
      </c>
      <c r="E65" s="28">
        <f>E25/E29</f>
        <v>6.5233526678945483E-2</v>
      </c>
      <c r="F65" s="28">
        <f>F25/F29</f>
        <v>0.12819647227614145</v>
      </c>
      <c r="G65" s="97">
        <f>G25/G29</f>
        <v>3.5374631268436575E-2</v>
      </c>
      <c r="H65" s="48">
        <f>MEDIAN($D$65:$G$65)</f>
        <v>7.5997495840259804E-2</v>
      </c>
      <c r="I65" s="47">
        <f>H65</f>
        <v>7.5997495840259804E-2</v>
      </c>
      <c r="J65" s="47">
        <f t="shared" ref="J65:L65" si="32">I65</f>
        <v>7.5997495840259804E-2</v>
      </c>
      <c r="K65" s="47">
        <f t="shared" si="32"/>
        <v>7.5997495840259804E-2</v>
      </c>
      <c r="L65" s="47">
        <f t="shared" si="32"/>
        <v>7.5997495840259804E-2</v>
      </c>
      <c r="N65" s="43"/>
    </row>
    <row r="67" spans="1:14" x14ac:dyDescent="0.3">
      <c r="A67" t="s">
        <v>7</v>
      </c>
      <c r="B67" s="176" t="s">
        <v>380</v>
      </c>
    </row>
    <row r="68" spans="1:14" x14ac:dyDescent="0.3">
      <c r="B68" s="59" t="s">
        <v>381</v>
      </c>
    </row>
  </sheetData>
  <mergeCells count="4">
    <mergeCell ref="B2:B3"/>
    <mergeCell ref="C2:C3"/>
    <mergeCell ref="D2:G2"/>
    <mergeCell ref="H2:L2"/>
  </mergeCells>
  <pageMargins left="0.7" right="0.7" top="0.75" bottom="0.75" header="0.3" footer="0.3"/>
  <ignoredErrors>
    <ignoredError sqref="F34:G34 D34:E3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F6080-9C3A-4F60-8373-932A37727470}">
  <dimension ref="A1:H43"/>
  <sheetViews>
    <sheetView showGridLines="0" topLeftCell="A7" zoomScale="85" workbookViewId="0">
      <selection activeCell="E35" sqref="E35"/>
    </sheetView>
  </sheetViews>
  <sheetFormatPr defaultRowHeight="14.4" x14ac:dyDescent="0.3"/>
  <cols>
    <col min="1" max="1" width="1.88671875" customWidth="1"/>
    <col min="2" max="2" width="55.44140625" bestFit="1" customWidth="1"/>
    <col min="3" max="8" width="10.77734375" customWidth="1"/>
  </cols>
  <sheetData>
    <row r="1" spans="1:8" ht="15" thickBot="1" x14ac:dyDescent="0.35"/>
    <row r="2" spans="1:8" ht="15" thickBot="1" x14ac:dyDescent="0.35">
      <c r="B2" s="184" t="s">
        <v>0</v>
      </c>
      <c r="C2" s="184" t="s">
        <v>1</v>
      </c>
      <c r="D2" s="180" t="s">
        <v>3</v>
      </c>
      <c r="E2" s="180"/>
      <c r="F2" s="180"/>
      <c r="G2" s="180"/>
      <c r="H2" s="185"/>
    </row>
    <row r="3" spans="1:8" ht="15" thickBot="1" x14ac:dyDescent="0.35">
      <c r="A3" t="s">
        <v>7</v>
      </c>
      <c r="B3" s="184"/>
      <c r="C3" s="184"/>
      <c r="D3" s="72">
        <v>2025</v>
      </c>
      <c r="E3" s="72">
        <f>D3+1</f>
        <v>2026</v>
      </c>
      <c r="F3" s="72">
        <f>E3+1</f>
        <v>2027</v>
      </c>
      <c r="G3" s="72">
        <f>F3+1</f>
        <v>2028</v>
      </c>
      <c r="H3" s="74">
        <f>G3+1</f>
        <v>2029</v>
      </c>
    </row>
    <row r="5" spans="1:8" x14ac:dyDescent="0.3">
      <c r="B5" s="18" t="s">
        <v>147</v>
      </c>
      <c r="C5" s="18" t="s">
        <v>151</v>
      </c>
    </row>
    <row r="6" spans="1:8" x14ac:dyDescent="0.3">
      <c r="B6" t="s">
        <v>41</v>
      </c>
      <c r="D6" s="44">
        <f ca="1">'P&amp;L'!H44</f>
        <v>13225.069749279239</v>
      </c>
      <c r="E6" s="44">
        <f ca="1">'P&amp;L'!I44</f>
        <v>14619.070422981295</v>
      </c>
      <c r="F6" s="44">
        <f ca="1">'P&amp;L'!J44</f>
        <v>16201.244816134695</v>
      </c>
      <c r="G6" s="44">
        <f ca="1">'P&amp;L'!K44</f>
        <v>17820.122373073558</v>
      </c>
      <c r="H6" s="44">
        <f ca="1">'P&amp;L'!L44</f>
        <v>19473.785439398562</v>
      </c>
    </row>
    <row r="7" spans="1:8" x14ac:dyDescent="0.3">
      <c r="D7" s="42"/>
      <c r="E7" s="42"/>
      <c r="F7" s="42"/>
      <c r="G7" s="42"/>
      <c r="H7" s="42"/>
    </row>
    <row r="8" spans="1:8" x14ac:dyDescent="0.3">
      <c r="B8" t="s">
        <v>143</v>
      </c>
      <c r="D8" s="42"/>
      <c r="E8" s="42"/>
      <c r="F8" s="42"/>
      <c r="G8" s="42"/>
      <c r="H8" s="42"/>
    </row>
    <row r="9" spans="1:8" x14ac:dyDescent="0.3">
      <c r="B9" t="s">
        <v>127</v>
      </c>
      <c r="D9" s="44">
        <f>CapEx!H19</f>
        <v>1130.8021251844632</v>
      </c>
      <c r="E9" s="44">
        <f>CapEx!I19</f>
        <v>1161.1628909935548</v>
      </c>
      <c r="F9" s="44">
        <f>CapEx!J19</f>
        <v>1203.3066491956779</v>
      </c>
      <c r="G9" s="44">
        <f>CapEx!K19</f>
        <v>1241.404369575522</v>
      </c>
      <c r="H9" s="44">
        <f>CapEx!L19</f>
        <v>1287.1522413500359</v>
      </c>
    </row>
    <row r="10" spans="1:8" x14ac:dyDescent="0.3">
      <c r="B10" t="s">
        <v>128</v>
      </c>
      <c r="D10" s="44">
        <f ca="1">-'P&amp;L'!H26</f>
        <v>-853.02669662927065</v>
      </c>
      <c r="E10" s="44">
        <f ca="1">-'P&amp;L'!I26</f>
        <v>-916.18101459291677</v>
      </c>
      <c r="F10" s="44">
        <f ca="1">-'P&amp;L'!J26</f>
        <v>-1056.4942954087167</v>
      </c>
      <c r="G10" s="44">
        <f ca="1">-'P&amp;L'!K26</f>
        <v>-1132.9978324870733</v>
      </c>
      <c r="H10" s="44">
        <f ca="1">-'P&amp;L'!L26</f>
        <v>-1114.1300039742664</v>
      </c>
    </row>
    <row r="11" spans="1:8" x14ac:dyDescent="0.3">
      <c r="B11" t="s">
        <v>129</v>
      </c>
      <c r="D11" s="44">
        <f>'P&amp;L'!H30</f>
        <v>1519.182169722249</v>
      </c>
      <c r="E11" s="44">
        <f>'P&amp;L'!I30</f>
        <v>1438.871560168785</v>
      </c>
      <c r="F11" s="44">
        <f>'P&amp;L'!J30</f>
        <v>1308.3586671963997</v>
      </c>
      <c r="G11" s="44">
        <f>'P&amp;L'!K30</f>
        <v>1149.0760361006503</v>
      </c>
      <c r="H11" s="44">
        <f>'P&amp;L'!L30</f>
        <v>946.68897422008047</v>
      </c>
    </row>
    <row r="12" spans="1:8" x14ac:dyDescent="0.3">
      <c r="B12" t="s">
        <v>130</v>
      </c>
      <c r="D12" s="44">
        <f>-'P&amp;L'!H34</f>
        <v>-1965.6054774875424</v>
      </c>
      <c r="E12" s="44">
        <f>-'P&amp;L'!I34</f>
        <v>-2148.0665037354834</v>
      </c>
      <c r="F12" s="44">
        <f>-'P&amp;L'!J34</f>
        <v>-2338.0494538203843</v>
      </c>
      <c r="G12" s="44">
        <f>-'P&amp;L'!K34</f>
        <v>-2544.2823753441503</v>
      </c>
      <c r="H12" s="44">
        <f>-'P&amp;L'!L34</f>
        <v>-2758.4061490711106</v>
      </c>
    </row>
    <row r="13" spans="1:8" x14ac:dyDescent="0.3">
      <c r="B13" t="s">
        <v>131</v>
      </c>
      <c r="D13" s="44">
        <f>-'P&amp;L'!H38</f>
        <v>25.333333333333332</v>
      </c>
      <c r="E13" s="44">
        <f>-'P&amp;L'!I38</f>
        <v>28.111111111111111</v>
      </c>
      <c r="F13" s="44">
        <f>-'P&amp;L'!J38</f>
        <v>-8.5185185185185208</v>
      </c>
      <c r="G13" s="44">
        <f>-'P&amp;L'!K38</f>
        <v>14.975308641975309</v>
      </c>
      <c r="H13" s="44">
        <f>-'P&amp;L'!L38</f>
        <v>11.522633744855966</v>
      </c>
    </row>
    <row r="14" spans="1:8" x14ac:dyDescent="0.3">
      <c r="B14" s="11" t="s">
        <v>132</v>
      </c>
      <c r="C14" s="12"/>
      <c r="D14" s="57">
        <f ca="1">SUM(D6:D13)</f>
        <v>13081.755203402472</v>
      </c>
      <c r="E14" s="57">
        <f t="shared" ref="E14:H14" ca="1" si="0">SUM(E6:E13)</f>
        <v>14182.968466926346</v>
      </c>
      <c r="F14" s="57">
        <f t="shared" ca="1" si="0"/>
        <v>15309.847864779154</v>
      </c>
      <c r="G14" s="57">
        <f t="shared" ca="1" si="0"/>
        <v>16548.297879560483</v>
      </c>
      <c r="H14" s="57">
        <f t="shared" ca="1" si="0"/>
        <v>17846.613135668154</v>
      </c>
    </row>
    <row r="15" spans="1:8" x14ac:dyDescent="0.3">
      <c r="B15" s="18"/>
      <c r="D15" s="42"/>
      <c r="E15" s="42"/>
      <c r="F15" s="42"/>
      <c r="G15" s="42"/>
      <c r="H15" s="42"/>
    </row>
    <row r="16" spans="1:8" x14ac:dyDescent="0.3">
      <c r="B16" t="s">
        <v>144</v>
      </c>
      <c r="D16" s="42"/>
      <c r="E16" s="42"/>
      <c r="F16" s="42"/>
      <c r="G16" s="42"/>
      <c r="H16" s="42"/>
    </row>
    <row r="17" spans="2:8" x14ac:dyDescent="0.3">
      <c r="B17" t="s">
        <v>102</v>
      </c>
      <c r="D17" s="42">
        <f>-('Balance Sheet'!H10-'Balance Sheet'!G10)</f>
        <v>-159.95093059902183</v>
      </c>
      <c r="E17" s="42">
        <f>-('Balance Sheet'!I10-'Balance Sheet'!H10)</f>
        <v>-137.08456697300426</v>
      </c>
      <c r="F17" s="42">
        <f>-('Balance Sheet'!J10-'Balance Sheet'!I10)</f>
        <v>-114.37392162528522</v>
      </c>
      <c r="G17" s="42">
        <f>-('Balance Sheet'!K10-'Balance Sheet'!J10)</f>
        <v>-103.47663381233042</v>
      </c>
      <c r="H17" s="42">
        <f>-('Balance Sheet'!L10-'Balance Sheet'!K10)</f>
        <v>-75.230864845449105</v>
      </c>
    </row>
    <row r="18" spans="2:8" x14ac:dyDescent="0.3">
      <c r="B18" t="s">
        <v>75</v>
      </c>
      <c r="D18" s="42">
        <f>-('Balance Sheet'!H11-'Balance Sheet'!G11)</f>
        <v>-687.70889374950912</v>
      </c>
      <c r="E18" s="42">
        <f>-('Balance Sheet'!I11-'Balance Sheet'!H11)</f>
        <v>-570.31392576539383</v>
      </c>
      <c r="F18" s="42">
        <f>-('Balance Sheet'!J11-'Balance Sheet'!I11)</f>
        <v>-602.99452681447929</v>
      </c>
      <c r="G18" s="42">
        <f>-('Balance Sheet'!K11-'Balance Sheet'!J11)</f>
        <v>-661.25692078209431</v>
      </c>
      <c r="H18" s="42">
        <f>-('Balance Sheet'!L11-'Balance Sheet'!K11)</f>
        <v>-696.96980938375873</v>
      </c>
    </row>
    <row r="19" spans="2:8" x14ac:dyDescent="0.3">
      <c r="B19" t="s">
        <v>76</v>
      </c>
      <c r="D19" s="42">
        <f>-('Balance Sheet'!H12-'Balance Sheet'!G12)</f>
        <v>-351.65086661033229</v>
      </c>
      <c r="E19" s="42">
        <f>-('Balance Sheet'!I12-'Balance Sheet'!H12)</f>
        <v>-323.09796467614569</v>
      </c>
      <c r="F19" s="42">
        <f>-('Balance Sheet'!J12-'Balance Sheet'!I12)</f>
        <v>-336.41762165794898</v>
      </c>
      <c r="G19" s="42">
        <f>-('Balance Sheet'!K12-'Balance Sheet'!J12)</f>
        <v>-365.19271300709261</v>
      </c>
      <c r="H19" s="42">
        <f>-('Balance Sheet'!L12-'Balance Sheet'!K12)</f>
        <v>-379.16566021033759</v>
      </c>
    </row>
    <row r="20" spans="2:8" x14ac:dyDescent="0.3">
      <c r="B20" t="s">
        <v>87</v>
      </c>
      <c r="D20" s="42">
        <f>'Balance Sheet'!H24-'Balance Sheet'!G24</f>
        <v>-1763.904718205642</v>
      </c>
      <c r="E20" s="42">
        <f>'Balance Sheet'!I24-'Balance Sheet'!H24</f>
        <v>1851.9979525798444</v>
      </c>
      <c r="F20" s="42">
        <f>'Balance Sheet'!J24-'Balance Sheet'!I24</f>
        <v>1928.3462436750669</v>
      </c>
      <c r="G20" s="42">
        <f>'Balance Sheet'!K24-'Balance Sheet'!J24</f>
        <v>2093.2851046094802</v>
      </c>
      <c r="H20" s="42">
        <f>'Balance Sheet'!L24-'Balance Sheet'!K24</f>
        <v>2173.3780561013082</v>
      </c>
    </row>
    <row r="21" spans="2:8" x14ac:dyDescent="0.3">
      <c r="B21" t="s">
        <v>145</v>
      </c>
      <c r="D21" s="42">
        <f ca="1">('Balance Sheet'!H27-'Balance Sheet'!G27)</f>
        <v>13.488343967490664</v>
      </c>
      <c r="E21" s="42">
        <f ca="1">('Balance Sheet'!I27-'Balance Sheet'!H27)</f>
        <v>147.6197654918949</v>
      </c>
      <c r="F21" s="42">
        <f ca="1">('Balance Sheet'!J27-'Balance Sheet'!I27)</f>
        <v>167.54670014923249</v>
      </c>
      <c r="G21" s="42">
        <f ca="1">('Balance Sheet'!K27-'Balance Sheet'!J27)</f>
        <v>171.43343602607547</v>
      </c>
      <c r="H21" s="42">
        <f ca="1">('Balance Sheet'!L27-'Balance Sheet'!K27)</f>
        <v>175.11709905075713</v>
      </c>
    </row>
    <row r="22" spans="2:8" x14ac:dyDescent="0.3">
      <c r="B22" s="11" t="s">
        <v>133</v>
      </c>
      <c r="C22" s="12"/>
      <c r="D22" s="57">
        <f ca="1">SUM(D14:D21)</f>
        <v>10132.028138205458</v>
      </c>
      <c r="E22" s="57">
        <f ca="1">SUM(E14:E21)</f>
        <v>15152.08972758354</v>
      </c>
      <c r="F22" s="57">
        <f ca="1">SUM(F14:F21)</f>
        <v>16351.954738505739</v>
      </c>
      <c r="G22" s="57">
        <f ca="1">SUM(G14:G21)</f>
        <v>17683.090152594523</v>
      </c>
      <c r="H22" s="57">
        <f ca="1">SUM(H14:H21)</f>
        <v>19043.741956380676</v>
      </c>
    </row>
    <row r="23" spans="2:8" x14ac:dyDescent="0.3">
      <c r="D23" s="42"/>
      <c r="E23" s="42"/>
      <c r="F23" s="42"/>
      <c r="G23" s="42"/>
      <c r="H23" s="42"/>
    </row>
    <row r="24" spans="2:8" x14ac:dyDescent="0.3">
      <c r="B24" s="18" t="s">
        <v>148</v>
      </c>
      <c r="D24" s="42"/>
      <c r="E24" s="42"/>
      <c r="F24" s="42"/>
      <c r="G24" s="42"/>
      <c r="H24" s="42"/>
    </row>
    <row r="25" spans="2:8" x14ac:dyDescent="0.3">
      <c r="B25" t="s">
        <v>134</v>
      </c>
      <c r="D25" s="44">
        <f>-CapEx!H7</f>
        <v>-832.49001194718585</v>
      </c>
      <c r="E25" s="44">
        <f>-CapEx!I7</f>
        <v>-814.54186692687654</v>
      </c>
      <c r="F25" s="44">
        <f>-CapEx!J7</f>
        <v>-810.36909578024279</v>
      </c>
      <c r="G25" s="44">
        <f>-CapEx!K7</f>
        <v>-886.39859318153322</v>
      </c>
      <c r="H25" s="44">
        <f>-CapEx!L7</f>
        <v>-879.67146418175253</v>
      </c>
    </row>
    <row r="26" spans="2:8" x14ac:dyDescent="0.3">
      <c r="B26" t="s">
        <v>135</v>
      </c>
      <c r="D26" s="42">
        <v>0</v>
      </c>
      <c r="E26" s="42">
        <v>0</v>
      </c>
      <c r="F26" s="42">
        <v>0</v>
      </c>
      <c r="G26" s="42">
        <v>0</v>
      </c>
      <c r="H26" s="42">
        <v>0</v>
      </c>
    </row>
    <row r="27" spans="2:8" x14ac:dyDescent="0.3">
      <c r="B27" t="s">
        <v>128</v>
      </c>
      <c r="D27" s="43">
        <f ca="1">-D10</f>
        <v>853.02669662927065</v>
      </c>
      <c r="E27" s="43">
        <f t="shared" ref="E27:H27" ca="1" si="1">-E10</f>
        <v>916.18101459291677</v>
      </c>
      <c r="F27" s="43">
        <f t="shared" ca="1" si="1"/>
        <v>1056.4942954087167</v>
      </c>
      <c r="G27" s="43">
        <f t="shared" ca="1" si="1"/>
        <v>1132.9978324870733</v>
      </c>
      <c r="H27" s="43">
        <f t="shared" ca="1" si="1"/>
        <v>1114.1300039742664</v>
      </c>
    </row>
    <row r="28" spans="2:8" x14ac:dyDescent="0.3">
      <c r="B28" t="s">
        <v>130</v>
      </c>
      <c r="D28" s="44">
        <f>'P&amp;L'!H34</f>
        <v>1965.6054774875424</v>
      </c>
      <c r="E28" s="44">
        <f>'P&amp;L'!I34</f>
        <v>2148.0665037354834</v>
      </c>
      <c r="F28" s="44">
        <f>'P&amp;L'!J34</f>
        <v>2338.0494538203843</v>
      </c>
      <c r="G28" s="44">
        <f>'P&amp;L'!K34</f>
        <v>2544.2823753441503</v>
      </c>
      <c r="H28" s="44">
        <f>'P&amp;L'!L34</f>
        <v>2758.4061490711106</v>
      </c>
    </row>
    <row r="29" spans="2:8" x14ac:dyDescent="0.3">
      <c r="B29" t="s">
        <v>131</v>
      </c>
      <c r="D29" s="44">
        <f>'P&amp;L'!H38</f>
        <v>-25.333333333333332</v>
      </c>
      <c r="E29" s="44">
        <f>'P&amp;L'!I38</f>
        <v>-28.111111111111111</v>
      </c>
      <c r="F29" s="44">
        <f>'P&amp;L'!J38</f>
        <v>8.5185185185185208</v>
      </c>
      <c r="G29" s="44">
        <f>'P&amp;L'!K38</f>
        <v>-14.975308641975309</v>
      </c>
      <c r="H29" s="44">
        <f>'P&amp;L'!L38</f>
        <v>-11.522633744855966</v>
      </c>
    </row>
    <row r="30" spans="2:8" x14ac:dyDescent="0.3">
      <c r="B30" s="11" t="s">
        <v>136</v>
      </c>
      <c r="C30" s="12"/>
      <c r="D30" s="57">
        <f ca="1">SUM(D25:D29)</f>
        <v>1960.808828836294</v>
      </c>
      <c r="E30" s="57">
        <f t="shared" ref="E30:H30" ca="1" si="2">SUM(E25:E29)</f>
        <v>2221.5945402904122</v>
      </c>
      <c r="F30" s="57">
        <f t="shared" ca="1" si="2"/>
        <v>2592.6931719673771</v>
      </c>
      <c r="G30" s="57">
        <f t="shared" ca="1" si="2"/>
        <v>2775.9063060077146</v>
      </c>
      <c r="H30" s="57">
        <f t="shared" ca="1" si="2"/>
        <v>2981.3420551187683</v>
      </c>
    </row>
    <row r="31" spans="2:8" x14ac:dyDescent="0.3">
      <c r="D31" s="42"/>
      <c r="E31" s="42"/>
      <c r="F31" s="42"/>
      <c r="G31" s="42"/>
      <c r="H31" s="42"/>
    </row>
    <row r="32" spans="2:8" x14ac:dyDescent="0.3">
      <c r="B32" s="18" t="s">
        <v>137</v>
      </c>
      <c r="D32" s="42"/>
      <c r="E32" s="42"/>
      <c r="F32" s="42"/>
      <c r="G32" s="42"/>
      <c r="H32" s="42"/>
    </row>
    <row r="33" spans="1:8" x14ac:dyDescent="0.3">
      <c r="B33" t="s">
        <v>138</v>
      </c>
      <c r="D33" s="42">
        <f>SUM(Debt!D7,Debt!D15)</f>
        <v>-1099.5457438491362</v>
      </c>
      <c r="E33" s="42">
        <f>SUM(Debt!E7,Debt!E15)</f>
        <v>-1136.9612423624276</v>
      </c>
      <c r="F33" s="42">
        <f>SUM(Debt!F7,Debt!F15)</f>
        <v>1197.3114732847098</v>
      </c>
      <c r="G33" s="42">
        <f>SUM(Debt!G7,Debt!G15)</f>
        <v>-2014.24399618588</v>
      </c>
      <c r="H33" s="42">
        <f>SUM(Debt!H7,Debt!H15)</f>
        <v>-3234.3552906968071</v>
      </c>
    </row>
    <row r="34" spans="1:8" x14ac:dyDescent="0.3">
      <c r="B34" t="s">
        <v>139</v>
      </c>
      <c r="D34" s="44">
        <f>Debt!D8+Debt!D16</f>
        <v>-648</v>
      </c>
      <c r="E34" s="44">
        <f>Debt!E8+Debt!E16</f>
        <v>-2274.2575262220507</v>
      </c>
      <c r="F34" s="44">
        <f>Debt!F8+Debt!F16</f>
        <v>-5184.7363497005135</v>
      </c>
      <c r="G34" s="44">
        <f>Debt!G8+Debt!G16</f>
        <v>-3143.0547785566619</v>
      </c>
      <c r="H34" s="44">
        <f>Debt!H8+Debt!H16</f>
        <v>-3133.7801815859102</v>
      </c>
    </row>
    <row r="35" spans="1:8" x14ac:dyDescent="0.3">
      <c r="B35" t="s">
        <v>129</v>
      </c>
      <c r="D35" s="43">
        <f>-D11</f>
        <v>-1519.182169722249</v>
      </c>
      <c r="E35" s="43">
        <f>-E11</f>
        <v>-1438.871560168785</v>
      </c>
      <c r="F35" s="43">
        <f>-F11</f>
        <v>-1308.3586671963997</v>
      </c>
      <c r="G35" s="43">
        <f>-G11</f>
        <v>-1149.0760361006503</v>
      </c>
      <c r="H35" s="43">
        <f>-H11</f>
        <v>-946.68897422008047</v>
      </c>
    </row>
    <row r="36" spans="1:8" x14ac:dyDescent="0.3">
      <c r="B36" t="s">
        <v>58</v>
      </c>
      <c r="D36" s="44">
        <f ca="1">-'P&amp;L'!H65</f>
        <v>-9215.7608799385216</v>
      </c>
      <c r="E36" s="44">
        <f ca="1">-'P&amp;L'!I65</f>
        <v>-10559.475897487253</v>
      </c>
      <c r="F36" s="44">
        <f ca="1">-'P&amp;L'!J65</f>
        <v>-12114.907735110257</v>
      </c>
      <c r="G36" s="44">
        <f ca="1">-'P&amp;L'!K65</f>
        <v>-13779.309887507525</v>
      </c>
      <c r="H36" s="44">
        <f ca="1">-'P&amp;L'!L65</f>
        <v>-15553.954974455601</v>
      </c>
    </row>
    <row r="37" spans="1:8" x14ac:dyDescent="0.3">
      <c r="B37" s="11" t="s">
        <v>140</v>
      </c>
      <c r="C37" s="12"/>
      <c r="D37" s="57">
        <f ca="1">SUM(D33:D36)</f>
        <v>-12482.488793509907</v>
      </c>
      <c r="E37" s="57">
        <f t="shared" ref="E37:H37" ca="1" si="3">SUM(E33:E36)</f>
        <v>-15409.566226240517</v>
      </c>
      <c r="F37" s="57">
        <f t="shared" ca="1" si="3"/>
        <v>-17410.691278722461</v>
      </c>
      <c r="G37" s="57">
        <f t="shared" ca="1" si="3"/>
        <v>-20085.684698350717</v>
      </c>
      <c r="H37" s="57">
        <f t="shared" ca="1" si="3"/>
        <v>-22868.779420958399</v>
      </c>
    </row>
    <row r="39" spans="1:8" x14ac:dyDescent="0.3">
      <c r="B39" s="11" t="s">
        <v>141</v>
      </c>
      <c r="C39" s="12"/>
      <c r="D39" s="57">
        <f ca="1">SUM(D37,D30,D22)</f>
        <v>-389.65182646815447</v>
      </c>
      <c r="E39" s="57">
        <f ca="1">SUM(E37,E30,E22)</f>
        <v>1964.1180416334355</v>
      </c>
      <c r="F39" s="57">
        <f ca="1">SUM(F37,F30,F22)</f>
        <v>1533.956631750656</v>
      </c>
      <c r="G39" s="57">
        <f ca="1">SUM(G37,G30,G22)</f>
        <v>373.31176025151944</v>
      </c>
      <c r="H39" s="57">
        <f ca="1">SUM(H37,H30,H22)</f>
        <v>-843.69540945895278</v>
      </c>
    </row>
    <row r="41" spans="1:8" ht="15" thickBot="1" x14ac:dyDescent="0.35">
      <c r="B41" t="s">
        <v>142</v>
      </c>
      <c r="D41" s="44">
        <f>'Balance Sheet'!G6</f>
        <v>10828</v>
      </c>
      <c r="E41" s="44">
        <f ca="1">D42</f>
        <v>10438.348173531846</v>
      </c>
      <c r="F41" s="44">
        <f t="shared" ref="F41:H41" ca="1" si="4">E42</f>
        <v>12402.466215165281</v>
      </c>
      <c r="G41" s="44">
        <f t="shared" ca="1" si="4"/>
        <v>13936.422846915941</v>
      </c>
      <c r="H41" s="44">
        <f t="shared" ca="1" si="4"/>
        <v>14309.73460716746</v>
      </c>
    </row>
    <row r="42" spans="1:8" ht="15" thickBot="1" x14ac:dyDescent="0.35">
      <c r="A42" t="s">
        <v>7</v>
      </c>
      <c r="B42" s="13" t="s">
        <v>118</v>
      </c>
      <c r="C42" s="14"/>
      <c r="D42" s="76">
        <f ca="1">SUM(D39:D41)</f>
        <v>10438.348173531846</v>
      </c>
      <c r="E42" s="76">
        <f ca="1">SUM(E39:E41)</f>
        <v>12402.466215165281</v>
      </c>
      <c r="F42" s="76">
        <f ca="1">SUM(F39:F41)</f>
        <v>13936.422846915937</v>
      </c>
      <c r="G42" s="76">
        <f ca="1">SUM(G39:G41)</f>
        <v>14309.73460716746</v>
      </c>
      <c r="H42" s="76">
        <f ca="1">SUM(H39:H41)</f>
        <v>13466.039197708507</v>
      </c>
    </row>
    <row r="43" spans="1:8" ht="15" thickTop="1" x14ac:dyDescent="0.3"/>
  </sheetData>
  <mergeCells count="3">
    <mergeCell ref="B2:B3"/>
    <mergeCell ref="C2:C3"/>
    <mergeCell ref="D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2DD7-3F7F-4F66-B18F-E27C67D1F4EE}">
  <sheetPr>
    <tabColor rgb="FF0000FF"/>
  </sheetPr>
  <dimension ref="A1"/>
  <sheetViews>
    <sheetView workbookViewId="0">
      <selection activeCell="K27" sqref="K27"/>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B3E1-E513-42FB-B580-1DEC59AA9369}">
  <dimension ref="A1:M26"/>
  <sheetViews>
    <sheetView showGridLines="0" zoomScale="95" workbookViewId="0">
      <selection activeCell="J12" sqref="J12"/>
    </sheetView>
  </sheetViews>
  <sheetFormatPr defaultRowHeight="14.4" x14ac:dyDescent="0.3"/>
  <cols>
    <col min="1" max="1" width="1.88671875" customWidth="1"/>
    <col min="2" max="2" width="31.21875" bestFit="1" customWidth="1"/>
    <col min="4" max="12" width="10.77734375" customWidth="1"/>
  </cols>
  <sheetData>
    <row r="1" spans="1:12" ht="15" thickBot="1" x14ac:dyDescent="0.35"/>
    <row r="2" spans="1:12" ht="15" thickBot="1" x14ac:dyDescent="0.35">
      <c r="A2" t="s">
        <v>7</v>
      </c>
      <c r="B2" s="179" t="s">
        <v>0</v>
      </c>
      <c r="C2" s="179" t="s">
        <v>1</v>
      </c>
      <c r="D2" s="183" t="s">
        <v>2</v>
      </c>
      <c r="E2" s="183"/>
      <c r="F2" s="183"/>
      <c r="G2" s="183"/>
      <c r="H2" s="183" t="s">
        <v>3</v>
      </c>
      <c r="I2" s="183"/>
      <c r="J2" s="183"/>
      <c r="K2" s="183"/>
      <c r="L2" s="183"/>
    </row>
    <row r="3" spans="1:12" ht="15" thickBot="1" x14ac:dyDescent="0.35">
      <c r="B3" s="179"/>
      <c r="C3" s="179"/>
      <c r="D3" s="72">
        <v>2021</v>
      </c>
      <c r="E3" s="72">
        <f>D3+1</f>
        <v>2022</v>
      </c>
      <c r="F3" s="72">
        <f t="shared" ref="F3:L3" si="0">E3+1</f>
        <v>2023</v>
      </c>
      <c r="G3" s="74">
        <f t="shared" si="0"/>
        <v>2024</v>
      </c>
      <c r="H3" s="110">
        <f t="shared" si="0"/>
        <v>2025</v>
      </c>
      <c r="I3" s="72">
        <f t="shared" si="0"/>
        <v>2026</v>
      </c>
      <c r="J3" s="72">
        <f t="shared" si="0"/>
        <v>2027</v>
      </c>
      <c r="K3" s="72">
        <f t="shared" si="0"/>
        <v>2028</v>
      </c>
      <c r="L3" s="72">
        <f t="shared" si="0"/>
        <v>2029</v>
      </c>
    </row>
    <row r="4" spans="1:12" x14ac:dyDescent="0.3">
      <c r="G4" s="10"/>
    </row>
    <row r="5" spans="1:12" x14ac:dyDescent="0.3">
      <c r="B5" s="18" t="s">
        <v>150</v>
      </c>
      <c r="C5" s="18" t="s">
        <v>151</v>
      </c>
      <c r="G5" s="10"/>
    </row>
    <row r="6" spans="1:12" x14ac:dyDescent="0.3">
      <c r="B6" t="s">
        <v>60</v>
      </c>
      <c r="D6" s="41">
        <v>19700</v>
      </c>
      <c r="E6" s="43">
        <f>D8</f>
        <v>18862</v>
      </c>
      <c r="F6" s="43">
        <f>E8</f>
        <v>19075</v>
      </c>
      <c r="G6" s="108">
        <f>F8</f>
        <v>18469</v>
      </c>
      <c r="H6" s="43">
        <f t="shared" ref="H6:L6" si="1">G8</f>
        <v>19873</v>
      </c>
      <c r="I6" s="43">
        <f t="shared" si="1"/>
        <v>20705.490011947186</v>
      </c>
      <c r="J6" s="43">
        <f t="shared" si="1"/>
        <v>21520.031878874062</v>
      </c>
      <c r="K6" s="43">
        <f t="shared" si="1"/>
        <v>22330.400974654305</v>
      </c>
      <c r="L6" s="43">
        <f t="shared" si="1"/>
        <v>23216.799567835838</v>
      </c>
    </row>
    <row r="7" spans="1:12" x14ac:dyDescent="0.3">
      <c r="B7" t="s">
        <v>63</v>
      </c>
      <c r="D7" s="42">
        <f>D8-D6</f>
        <v>-838</v>
      </c>
      <c r="E7" s="42">
        <f>E8-E6</f>
        <v>213</v>
      </c>
      <c r="F7" s="42">
        <f>F8-F6</f>
        <v>-606</v>
      </c>
      <c r="G7" s="104">
        <f>G8-G6</f>
        <v>1404</v>
      </c>
      <c r="H7" s="42">
        <f t="shared" ref="H7:L7" si="2">H8-H6</f>
        <v>832.49001194718585</v>
      </c>
      <c r="I7" s="42">
        <f t="shared" si="2"/>
        <v>814.54186692687654</v>
      </c>
      <c r="J7" s="42">
        <f t="shared" si="2"/>
        <v>810.36909578024279</v>
      </c>
      <c r="K7" s="42">
        <f t="shared" si="2"/>
        <v>886.39859318153322</v>
      </c>
      <c r="L7" s="42">
        <f t="shared" si="2"/>
        <v>879.67146418175253</v>
      </c>
    </row>
    <row r="8" spans="1:12" x14ac:dyDescent="0.3">
      <c r="B8" s="11" t="s">
        <v>61</v>
      </c>
      <c r="C8" s="11"/>
      <c r="D8" s="58">
        <v>18862</v>
      </c>
      <c r="E8" s="58">
        <v>19075</v>
      </c>
      <c r="F8" s="58">
        <v>18469</v>
      </c>
      <c r="G8" s="105">
        <v>19873</v>
      </c>
      <c r="H8" s="57">
        <f>'P&amp;L'!H8/CapEx!H21</f>
        <v>20705.490011947186</v>
      </c>
      <c r="I8" s="57">
        <f>'P&amp;L'!I8/CapEx!I21</f>
        <v>21520.031878874062</v>
      </c>
      <c r="J8" s="57">
        <f>'P&amp;L'!J8/CapEx!J21</f>
        <v>22330.400974654305</v>
      </c>
      <c r="K8" s="57">
        <f>'P&amp;L'!K8/CapEx!K21</f>
        <v>23216.799567835838</v>
      </c>
      <c r="L8" s="57">
        <f>'P&amp;L'!L8/CapEx!L21</f>
        <v>24096.471032017591</v>
      </c>
    </row>
    <row r="9" spans="1:12" ht="15" thickBot="1" x14ac:dyDescent="0.35">
      <c r="B9" t="s">
        <v>62</v>
      </c>
      <c r="D9" s="41">
        <v>8942</v>
      </c>
      <c r="E9" s="41">
        <v>9234</v>
      </c>
      <c r="F9" s="41">
        <v>9233</v>
      </c>
      <c r="G9" s="101">
        <v>9570</v>
      </c>
      <c r="H9" s="42">
        <f>G9+H18</f>
        <v>10646.802125184464</v>
      </c>
      <c r="I9" s="42">
        <f>H9+I18</f>
        <v>11765.965016178019</v>
      </c>
      <c r="J9" s="42">
        <f>I9+J18</f>
        <v>12927.271665373697</v>
      </c>
      <c r="K9" s="42">
        <f>J9+K18</f>
        <v>14134.67603494922</v>
      </c>
      <c r="L9" s="42">
        <f>K9+L18</f>
        <v>15387.828276299255</v>
      </c>
    </row>
    <row r="10" spans="1:12" ht="15" thickBot="1" x14ac:dyDescent="0.35">
      <c r="B10" s="78" t="s">
        <v>64</v>
      </c>
      <c r="C10" s="79"/>
      <c r="D10" s="76">
        <f>D8-D9</f>
        <v>9920</v>
      </c>
      <c r="E10" s="76">
        <f t="shared" ref="E10:G10" si="3">E8-E9</f>
        <v>9841</v>
      </c>
      <c r="F10" s="76">
        <f t="shared" si="3"/>
        <v>9236</v>
      </c>
      <c r="G10" s="103">
        <f t="shared" si="3"/>
        <v>10303</v>
      </c>
      <c r="H10" s="76">
        <f t="shared" ref="H10" si="4">H8-H9</f>
        <v>10058.687886762722</v>
      </c>
      <c r="I10" s="76">
        <f t="shared" ref="I10" si="5">I8-I9</f>
        <v>9754.0668626960432</v>
      </c>
      <c r="J10" s="76">
        <f t="shared" ref="J10" si="6">J8-J9</f>
        <v>9403.1293092806081</v>
      </c>
      <c r="K10" s="76">
        <f t="shared" ref="K10" si="7">K8-K9</f>
        <v>9082.1235328866187</v>
      </c>
      <c r="L10" s="76">
        <f t="shared" ref="L10" si="8">L8-L9</f>
        <v>8708.642755718336</v>
      </c>
    </row>
    <row r="11" spans="1:12" ht="15" thickTop="1" x14ac:dyDescent="0.3">
      <c r="D11" s="42"/>
      <c r="E11" s="42"/>
      <c r="F11" s="42"/>
      <c r="G11" s="104"/>
      <c r="H11" s="42"/>
      <c r="I11" s="42"/>
      <c r="J11" s="42"/>
      <c r="K11" s="42"/>
      <c r="L11" s="42"/>
    </row>
    <row r="12" spans="1:12" x14ac:dyDescent="0.3">
      <c r="B12" s="18" t="s">
        <v>149</v>
      </c>
      <c r="G12" s="10"/>
      <c r="H12" s="42"/>
      <c r="I12" s="42"/>
      <c r="J12" s="42"/>
      <c r="K12" s="42"/>
      <c r="L12" s="42"/>
    </row>
    <row r="13" spans="1:12" x14ac:dyDescent="0.3">
      <c r="B13" t="s">
        <v>117</v>
      </c>
      <c r="G13" s="10"/>
      <c r="H13" s="44">
        <f>'Balance Sheet'!G19</f>
        <v>13403</v>
      </c>
      <c r="I13" s="43">
        <f>H15</f>
        <v>13349</v>
      </c>
      <c r="J13" s="43">
        <f t="shared" ref="J13:L13" si="9">I15</f>
        <v>13307</v>
      </c>
      <c r="K13" s="43">
        <f t="shared" si="9"/>
        <v>13265</v>
      </c>
      <c r="L13" s="43">
        <f t="shared" si="9"/>
        <v>13231</v>
      </c>
    </row>
    <row r="14" spans="1:12" ht="15" thickBot="1" x14ac:dyDescent="0.35">
      <c r="B14" t="s">
        <v>146</v>
      </c>
      <c r="G14" s="10"/>
      <c r="H14" s="43">
        <f>-H22</f>
        <v>-54</v>
      </c>
      <c r="I14" s="43">
        <f>-I22</f>
        <v>-42</v>
      </c>
      <c r="J14" s="43">
        <f>-J22</f>
        <v>-42</v>
      </c>
      <c r="K14" s="43">
        <f>-K22</f>
        <v>-34</v>
      </c>
      <c r="L14" s="43">
        <f>-L22</f>
        <v>-34</v>
      </c>
    </row>
    <row r="15" spans="1:12" ht="15" thickBot="1" x14ac:dyDescent="0.35">
      <c r="B15" s="13" t="s">
        <v>118</v>
      </c>
      <c r="C15" s="13"/>
      <c r="D15" s="13"/>
      <c r="E15" s="13"/>
      <c r="F15" s="13"/>
      <c r="G15" s="111"/>
      <c r="H15" s="76">
        <f>SUM(H13:H14)</f>
        <v>13349</v>
      </c>
      <c r="I15" s="76">
        <f t="shared" ref="I15:L15" si="10">SUM(I13:I14)</f>
        <v>13307</v>
      </c>
      <c r="J15" s="76">
        <f t="shared" si="10"/>
        <v>13265</v>
      </c>
      <c r="K15" s="76">
        <f t="shared" si="10"/>
        <v>13231</v>
      </c>
      <c r="L15" s="76">
        <f t="shared" si="10"/>
        <v>13197</v>
      </c>
    </row>
    <row r="16" spans="1:12" ht="15" thickTop="1" x14ac:dyDescent="0.3">
      <c r="G16" s="10"/>
    </row>
    <row r="17" spans="1:13" x14ac:dyDescent="0.3">
      <c r="G17" s="10"/>
      <c r="H17" s="42"/>
      <c r="I17" s="42"/>
      <c r="J17" s="42"/>
      <c r="K17" s="42"/>
      <c r="L17" s="42"/>
    </row>
    <row r="18" spans="1:13" x14ac:dyDescent="0.3">
      <c r="B18" t="s">
        <v>65</v>
      </c>
      <c r="D18" s="70">
        <v>1262</v>
      </c>
      <c r="E18" s="70">
        <v>1125</v>
      </c>
      <c r="F18" s="70">
        <v>1018</v>
      </c>
      <c r="G18" s="101">
        <v>997</v>
      </c>
      <c r="H18" s="71">
        <f>H8*H20</f>
        <v>1076.8021251844632</v>
      </c>
      <c r="I18" s="71">
        <f>I8*I20</f>
        <v>1119.1628909935548</v>
      </c>
      <c r="J18" s="71">
        <f>J8*J20</f>
        <v>1161.3066491956779</v>
      </c>
      <c r="K18" s="71">
        <f>K8*K20</f>
        <v>1207.404369575522</v>
      </c>
      <c r="L18" s="71">
        <f>L8*L20</f>
        <v>1253.1522413500359</v>
      </c>
    </row>
    <row r="19" spans="1:13" x14ac:dyDescent="0.3">
      <c r="B19" t="s">
        <v>66</v>
      </c>
      <c r="D19" s="41">
        <v>1452</v>
      </c>
      <c r="E19" s="41">
        <v>1260</v>
      </c>
      <c r="F19" s="41">
        <v>1128</v>
      </c>
      <c r="G19" s="101">
        <v>1075</v>
      </c>
      <c r="H19" s="42">
        <f>H18+H22</f>
        <v>1130.8021251844632</v>
      </c>
      <c r="I19" s="42">
        <f t="shared" ref="I19:L19" si="11">I18+I22</f>
        <v>1161.1628909935548</v>
      </c>
      <c r="J19" s="42">
        <f t="shared" si="11"/>
        <v>1203.3066491956779</v>
      </c>
      <c r="K19" s="42">
        <f t="shared" si="11"/>
        <v>1241.404369575522</v>
      </c>
      <c r="L19" s="42">
        <f t="shared" si="11"/>
        <v>1287.1522413500359</v>
      </c>
    </row>
    <row r="20" spans="1:13" x14ac:dyDescent="0.3">
      <c r="B20" t="s">
        <v>67</v>
      </c>
      <c r="D20" s="35">
        <f>D18/((D6+D8)/2)</f>
        <v>6.5453036668222608E-2</v>
      </c>
      <c r="E20" s="35">
        <f>E18/((E6+E8)/2)</f>
        <v>5.9308854152937768E-2</v>
      </c>
      <c r="F20" s="35">
        <f>F18/((F6+F8)/2)</f>
        <v>5.422970381419135E-2</v>
      </c>
      <c r="G20" s="112">
        <f>G18/((G6+G8)/2)</f>
        <v>5.2005633508945805E-2</v>
      </c>
      <c r="H20" s="46">
        <f>G20</f>
        <v>5.2005633508945805E-2</v>
      </c>
      <c r="I20" s="46">
        <f t="shared" ref="I20:L20" si="12">H20</f>
        <v>5.2005633508945805E-2</v>
      </c>
      <c r="J20" s="46">
        <f t="shared" si="12"/>
        <v>5.2005633508945805E-2</v>
      </c>
      <c r="K20" s="46">
        <f t="shared" si="12"/>
        <v>5.2005633508945805E-2</v>
      </c>
      <c r="L20" s="46">
        <f t="shared" si="12"/>
        <v>5.2005633508945805E-2</v>
      </c>
    </row>
    <row r="21" spans="1:13" x14ac:dyDescent="0.3">
      <c r="B21" t="s">
        <v>68</v>
      </c>
      <c r="D21" s="36">
        <f>'P&amp;L'!D8/CapEx!D8</f>
        <v>2.0495175485102322</v>
      </c>
      <c r="E21" s="36">
        <f>'P&amp;L'!E8/CapEx!E8</f>
        <v>2.2566710353866317</v>
      </c>
      <c r="F21" s="36">
        <f>'P&amp;L'!F8/CapEx!F8</f>
        <v>2.4789647517461693</v>
      </c>
      <c r="G21" s="113">
        <f>'P&amp;L'!G8/CapEx!G8</f>
        <v>2.3598349519448498</v>
      </c>
      <c r="H21" s="36">
        <f>G21+(($L$21-$G$21)/5)</f>
        <v>2.4878679615558799</v>
      </c>
      <c r="I21" s="36">
        <f>H21+(($L$21-$G$21)/5)</f>
        <v>2.6159009711669099</v>
      </c>
      <c r="J21" s="36">
        <f>I21+(($L$21-$G$21)/5)</f>
        <v>2.7439339807779399</v>
      </c>
      <c r="K21" s="36">
        <f>J21+(($L$21-$G$21)/5)</f>
        <v>2.87196699038897</v>
      </c>
      <c r="L21" s="39">
        <v>3</v>
      </c>
    </row>
    <row r="22" spans="1:13" ht="16.2" x14ac:dyDescent="0.3">
      <c r="A22" t="s">
        <v>7</v>
      </c>
      <c r="B22" t="s">
        <v>382</v>
      </c>
      <c r="D22" s="34"/>
      <c r="E22" s="34"/>
      <c r="F22" s="34"/>
      <c r="G22" s="114"/>
      <c r="H22" s="41">
        <v>54</v>
      </c>
      <c r="I22" s="41">
        <v>42</v>
      </c>
      <c r="J22" s="41">
        <v>42</v>
      </c>
      <c r="K22" s="41">
        <v>34</v>
      </c>
      <c r="L22" s="43">
        <f>K22</f>
        <v>34</v>
      </c>
      <c r="M22" s="175" t="s">
        <v>385</v>
      </c>
    </row>
    <row r="24" spans="1:13" x14ac:dyDescent="0.3">
      <c r="B24" s="176" t="s">
        <v>380</v>
      </c>
    </row>
    <row r="25" spans="1:13" x14ac:dyDescent="0.3">
      <c r="B25" s="59" t="s">
        <v>384</v>
      </c>
    </row>
    <row r="26" spans="1:13" x14ac:dyDescent="0.3">
      <c r="B26" s="59" t="s">
        <v>383</v>
      </c>
    </row>
  </sheetData>
  <mergeCells count="4">
    <mergeCell ref="B2:B3"/>
    <mergeCell ref="C2:C3"/>
    <mergeCell ref="D2:G2"/>
    <mergeCell ref="H2:L2"/>
  </mergeCells>
  <pageMargins left="0.7" right="0.7" top="0.75" bottom="0.75" header="0.3" footer="0.3"/>
  <ignoredErrors>
    <ignoredError sqref="M2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74DF-37AC-4F83-9157-71166D3C4C30}">
  <dimension ref="A1:N32"/>
  <sheetViews>
    <sheetView showGridLines="0" zoomScale="101" workbookViewId="0">
      <selection activeCell="A25" sqref="A25"/>
    </sheetView>
  </sheetViews>
  <sheetFormatPr defaultRowHeight="14.4" x14ac:dyDescent="0.3"/>
  <cols>
    <col min="1" max="1" width="1.88671875" customWidth="1"/>
    <col min="2" max="2" width="45.33203125" bestFit="1" customWidth="1"/>
    <col min="4" max="4" width="10.77734375" customWidth="1"/>
    <col min="5" max="8" width="10.5546875" bestFit="1" customWidth="1"/>
  </cols>
  <sheetData>
    <row r="1" spans="1:10" ht="15" thickBot="1" x14ac:dyDescent="0.35"/>
    <row r="2" spans="1:10" ht="15" thickBot="1" x14ac:dyDescent="0.35">
      <c r="A2" t="s">
        <v>7</v>
      </c>
      <c r="B2" s="179" t="s">
        <v>0</v>
      </c>
      <c r="C2" s="179" t="s">
        <v>1</v>
      </c>
      <c r="D2" s="180" t="s">
        <v>3</v>
      </c>
      <c r="E2" s="180"/>
      <c r="F2" s="180"/>
      <c r="G2" s="180"/>
      <c r="H2" s="180"/>
    </row>
    <row r="3" spans="1:10" ht="15" thickBot="1" x14ac:dyDescent="0.35">
      <c r="B3" s="179"/>
      <c r="C3" s="179"/>
      <c r="D3" s="72">
        <v>2025</v>
      </c>
      <c r="E3" s="72">
        <f>D3+1</f>
        <v>2026</v>
      </c>
      <c r="F3" s="72">
        <f>E3+1</f>
        <v>2027</v>
      </c>
      <c r="G3" s="72">
        <f>F3+1</f>
        <v>2028</v>
      </c>
      <c r="H3" s="72">
        <f>G3+1</f>
        <v>2029</v>
      </c>
    </row>
    <row r="5" spans="1:10" x14ac:dyDescent="0.3">
      <c r="B5" s="18" t="s">
        <v>152</v>
      </c>
      <c r="C5" s="18" t="s">
        <v>151</v>
      </c>
    </row>
    <row r="6" spans="1:10" x14ac:dyDescent="0.3">
      <c r="B6" t="s">
        <v>117</v>
      </c>
      <c r="D6" s="41">
        <v>43023</v>
      </c>
      <c r="E6" s="43">
        <f>D9</f>
        <v>39880.648335190359</v>
      </c>
      <c r="F6" s="43">
        <f>E9</f>
        <v>36940.687092827931</v>
      </c>
      <c r="G6" s="43">
        <f>F9</f>
        <v>33073.998566112641</v>
      </c>
      <c r="H6" s="43">
        <f>G9</f>
        <v>28273.754569926761</v>
      </c>
    </row>
    <row r="7" spans="1:10" x14ac:dyDescent="0.3">
      <c r="B7" t="s">
        <v>122</v>
      </c>
      <c r="D7" s="42">
        <f>D9-D6-D8</f>
        <v>-2494.3516648096411</v>
      </c>
      <c r="E7" s="42">
        <f>E9-E6-E8</f>
        <v>-1136.9612423624276</v>
      </c>
      <c r="F7" s="42">
        <f>F9-F6-F8</f>
        <v>1197.3114732847098</v>
      </c>
      <c r="G7" s="42">
        <f>G9-G6-G8</f>
        <v>-2014.24399618588</v>
      </c>
      <c r="H7" s="42">
        <f>H9-H6-H8</f>
        <v>-3234.3552906968071</v>
      </c>
    </row>
    <row r="8" spans="1:10" x14ac:dyDescent="0.3">
      <c r="B8" t="s">
        <v>121</v>
      </c>
      <c r="D8" s="41">
        <v>-648</v>
      </c>
      <c r="E8" s="41">
        <v>-1803</v>
      </c>
      <c r="F8" s="41">
        <v>-5064</v>
      </c>
      <c r="G8" s="41">
        <v>-2786</v>
      </c>
      <c r="H8" s="41">
        <v>-2684</v>
      </c>
    </row>
    <row r="9" spans="1:10" x14ac:dyDescent="0.3">
      <c r="B9" s="12" t="s">
        <v>124</v>
      </c>
      <c r="C9" s="12"/>
      <c r="D9" s="57">
        <f>D25*'P&amp;L'!H62</f>
        <v>39880.648335190359</v>
      </c>
      <c r="E9" s="57">
        <f>E25*'P&amp;L'!I62</f>
        <v>36940.687092827931</v>
      </c>
      <c r="F9" s="57">
        <f>F25*'P&amp;L'!J62</f>
        <v>33073.998566112641</v>
      </c>
      <c r="G9" s="57">
        <f>G25*'P&amp;L'!K62</f>
        <v>28273.754569926761</v>
      </c>
      <c r="H9" s="57">
        <f>H25*'P&amp;L'!L62</f>
        <v>22355.399279229954</v>
      </c>
      <c r="J9" s="4"/>
    </row>
    <row r="10" spans="1:10" ht="15" thickBot="1" x14ac:dyDescent="0.35">
      <c r="B10" t="s">
        <v>125</v>
      </c>
      <c r="D10" s="43">
        <f>E8</f>
        <v>-1803</v>
      </c>
      <c r="E10" s="43">
        <f t="shared" ref="E10:G10" si="0">F8</f>
        <v>-5064</v>
      </c>
      <c r="F10" s="43">
        <f t="shared" si="0"/>
        <v>-2786</v>
      </c>
      <c r="G10" s="43">
        <f t="shared" si="0"/>
        <v>-2684</v>
      </c>
      <c r="H10" s="43">
        <f>G10</f>
        <v>-2684</v>
      </c>
    </row>
    <row r="11" spans="1:10" ht="15" thickBot="1" x14ac:dyDescent="0.35">
      <c r="B11" s="13" t="s">
        <v>118</v>
      </c>
      <c r="C11" s="13"/>
      <c r="D11" s="77">
        <f>SUM(D9:D10)</f>
        <v>38077.648335190359</v>
      </c>
      <c r="E11" s="77">
        <f t="shared" ref="E11:H11" si="1">SUM(E9:E10)</f>
        <v>31876.687092827931</v>
      </c>
      <c r="F11" s="77">
        <f t="shared" si="1"/>
        <v>30287.998566112641</v>
      </c>
      <c r="G11" s="77">
        <f t="shared" si="1"/>
        <v>25589.754569926761</v>
      </c>
      <c r="H11" s="77">
        <f t="shared" si="1"/>
        <v>19671.399279229954</v>
      </c>
    </row>
    <row r="12" spans="1:10" ht="15" thickTop="1" x14ac:dyDescent="0.3">
      <c r="B12" s="18"/>
      <c r="C12" s="18"/>
      <c r="D12" s="66"/>
      <c r="E12" s="66"/>
      <c r="F12" s="66"/>
      <c r="G12" s="66"/>
      <c r="H12" s="66"/>
    </row>
    <row r="13" spans="1:10" x14ac:dyDescent="0.3">
      <c r="B13" s="18" t="s">
        <v>153</v>
      </c>
      <c r="D13" s="42"/>
      <c r="E13" s="42"/>
      <c r="F13" s="42"/>
      <c r="G13" s="42"/>
      <c r="H13" s="42"/>
    </row>
    <row r="14" spans="1:10" x14ac:dyDescent="0.3">
      <c r="B14" t="s">
        <v>117</v>
      </c>
      <c r="D14" s="44">
        <f>'Balance Sheet'!G25</f>
        <v>1499</v>
      </c>
      <c r="E14" s="43">
        <f>D17</f>
        <v>2893.8059209605049</v>
      </c>
      <c r="F14" s="43">
        <f t="shared" ref="F14:H14" si="2">E17</f>
        <v>2422.5483947384541</v>
      </c>
      <c r="G14" s="43">
        <f t="shared" si="2"/>
        <v>2301.8120450379402</v>
      </c>
      <c r="H14" s="43">
        <f t="shared" si="2"/>
        <v>1944.7572664812783</v>
      </c>
    </row>
    <row r="15" spans="1:10" x14ac:dyDescent="0.3">
      <c r="B15" t="s">
        <v>122</v>
      </c>
      <c r="D15" s="42">
        <f>IF(D17&gt;D14,D17-D14,0)</f>
        <v>1394.8059209605049</v>
      </c>
      <c r="E15" s="42">
        <f t="shared" ref="E15:H15" si="3">IF(E17&gt;E14,E17-E14,0)</f>
        <v>0</v>
      </c>
      <c r="F15" s="42">
        <f t="shared" si="3"/>
        <v>0</v>
      </c>
      <c r="G15" s="42">
        <f t="shared" si="3"/>
        <v>0</v>
      </c>
      <c r="H15" s="42">
        <f t="shared" si="3"/>
        <v>0</v>
      </c>
    </row>
    <row r="16" spans="1:10" ht="15" thickBot="1" x14ac:dyDescent="0.35">
      <c r="B16" t="s">
        <v>121</v>
      </c>
      <c r="D16" s="42">
        <f t="shared" ref="D16:G16" si="4">IF(D14&gt;D17,-(D14-D17),0)</f>
        <v>0</v>
      </c>
      <c r="E16" s="42">
        <f t="shared" si="4"/>
        <v>-471.25752622205073</v>
      </c>
      <c r="F16" s="42">
        <f t="shared" si="4"/>
        <v>-120.73634970051398</v>
      </c>
      <c r="G16" s="42">
        <f t="shared" si="4"/>
        <v>-357.05477855666186</v>
      </c>
      <c r="H16" s="42">
        <f>IF(H14&gt;H17,-(H14-H17),0)</f>
        <v>-449.78018158591021</v>
      </c>
    </row>
    <row r="17" spans="1:14" ht="15" thickBot="1" x14ac:dyDescent="0.35">
      <c r="B17" s="13" t="s">
        <v>118</v>
      </c>
      <c r="C17" s="13"/>
      <c r="D17" s="76">
        <f>D21*D11</f>
        <v>2893.8059209605049</v>
      </c>
      <c r="E17" s="76">
        <f>E21*E11</f>
        <v>2422.5483947384541</v>
      </c>
      <c r="F17" s="76">
        <f>F21*F11</f>
        <v>2301.8120450379402</v>
      </c>
      <c r="G17" s="76">
        <f>G21*G11</f>
        <v>1944.7572664812783</v>
      </c>
      <c r="H17" s="76">
        <f>H21*H11</f>
        <v>1494.9770848953681</v>
      </c>
    </row>
    <row r="18" spans="1:14" ht="15" thickTop="1" x14ac:dyDescent="0.3"/>
    <row r="19" spans="1:14" x14ac:dyDescent="0.3">
      <c r="B19" t="s">
        <v>119</v>
      </c>
      <c r="D19" s="67">
        <v>0.05</v>
      </c>
      <c r="E19" s="68">
        <f>D19</f>
        <v>0.05</v>
      </c>
      <c r="F19" s="68">
        <f t="shared" ref="F19:H19" si="5">E19</f>
        <v>0.05</v>
      </c>
      <c r="G19" s="68">
        <f t="shared" si="5"/>
        <v>0.05</v>
      </c>
      <c r="H19" s="68">
        <f t="shared" si="5"/>
        <v>0.05</v>
      </c>
    </row>
    <row r="20" spans="1:14" x14ac:dyDescent="0.3">
      <c r="B20" t="s">
        <v>120</v>
      </c>
      <c r="D20" s="42">
        <f>D19*AVERAGE(D14,D17)</f>
        <v>109.82014802401264</v>
      </c>
      <c r="E20" s="42">
        <f>E19*AVERAGE(E14,E17)</f>
        <v>132.90885789247397</v>
      </c>
      <c r="F20" s="42">
        <f>F19*AVERAGE(F14,F17)</f>
        <v>118.10901099440986</v>
      </c>
      <c r="G20" s="42">
        <f>G19*AVERAGE(G14,G17)</f>
        <v>106.16423278798048</v>
      </c>
      <c r="H20" s="42">
        <f>H19*AVERAGE(H14,H17)</f>
        <v>85.993358784416159</v>
      </c>
      <c r="J20" s="42"/>
      <c r="K20" s="42"/>
      <c r="L20" s="42"/>
      <c r="M20" s="42"/>
      <c r="N20" s="42"/>
    </row>
    <row r="21" spans="1:14" x14ac:dyDescent="0.3">
      <c r="B21" t="s">
        <v>126</v>
      </c>
      <c r="D21" s="69">
        <f>'Balance Sheet'!H65</f>
        <v>7.5997495840259804E-2</v>
      </c>
      <c r="E21" s="69">
        <f>'Balance Sheet'!I65</f>
        <v>7.5997495840259804E-2</v>
      </c>
      <c r="F21" s="69">
        <f>'Balance Sheet'!J65</f>
        <v>7.5997495840259804E-2</v>
      </c>
      <c r="G21" s="69">
        <f>'Balance Sheet'!K65</f>
        <v>7.5997495840259804E-2</v>
      </c>
      <c r="H21" s="69">
        <f>'Balance Sheet'!L65</f>
        <v>7.5997495840259804E-2</v>
      </c>
    </row>
    <row r="23" spans="1:14" x14ac:dyDescent="0.3">
      <c r="B23" t="s">
        <v>119</v>
      </c>
      <c r="D23" s="67">
        <v>3.4000000000000002E-2</v>
      </c>
      <c r="E23" s="46">
        <f>D23</f>
        <v>3.4000000000000002E-2</v>
      </c>
      <c r="F23" s="46">
        <f t="shared" ref="F23:H23" si="6">E23</f>
        <v>3.4000000000000002E-2</v>
      </c>
      <c r="G23" s="46">
        <f t="shared" si="6"/>
        <v>3.4000000000000002E-2</v>
      </c>
      <c r="H23" s="46">
        <f t="shared" si="6"/>
        <v>3.4000000000000002E-2</v>
      </c>
    </row>
    <row r="24" spans="1:14" x14ac:dyDescent="0.3">
      <c r="B24" t="s">
        <v>120</v>
      </c>
      <c r="D24" s="42">
        <f>D23*AVERAGE(D6,D9)</f>
        <v>1409.3620216982363</v>
      </c>
      <c r="E24" s="42">
        <f>E23*AVERAGE(E6,E9)</f>
        <v>1305.9627022763111</v>
      </c>
      <c r="F24" s="42">
        <f>F23*AVERAGE(F6,F9)</f>
        <v>1190.2496562019899</v>
      </c>
      <c r="G24" s="42">
        <f>G23*AVERAGE(G6,G9)</f>
        <v>1042.9118033126699</v>
      </c>
      <c r="H24" s="42">
        <f>H23*AVERAGE(H6,H9)</f>
        <v>860.69561543566431</v>
      </c>
    </row>
    <row r="25" spans="1:14" x14ac:dyDescent="0.3">
      <c r="A25" t="s">
        <v>7</v>
      </c>
      <c r="B25" t="s">
        <v>123</v>
      </c>
      <c r="D25" s="44">
        <f>'Balance Sheet'!H64</f>
        <v>2.4703430079155675</v>
      </c>
      <c r="E25" s="44">
        <f>'Balance Sheet'!I64</f>
        <v>2.1027572559366758</v>
      </c>
      <c r="F25" s="44">
        <f>'Balance Sheet'!J64</f>
        <v>1.735171503957784</v>
      </c>
      <c r="G25" s="44">
        <f>'Balance Sheet'!K64</f>
        <v>1.3675857519788921</v>
      </c>
      <c r="H25" s="44">
        <f>'Balance Sheet'!L64</f>
        <v>1</v>
      </c>
    </row>
    <row r="29" spans="1:14" x14ac:dyDescent="0.3">
      <c r="I29" s="29"/>
    </row>
    <row r="32" spans="1:14" x14ac:dyDescent="0.3">
      <c r="D32" s="4"/>
      <c r="E32" s="4"/>
      <c r="F32" s="4"/>
      <c r="G32" s="4"/>
      <c r="H32" s="4"/>
    </row>
  </sheetData>
  <mergeCells count="3">
    <mergeCell ref="B2:B3"/>
    <mergeCell ref="C2:C3"/>
    <mergeCell ref="D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F827-31D1-4D8D-BEB8-9F03B910B675}">
  <sheetPr>
    <tabColor rgb="FF0000CC"/>
  </sheetPr>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FAF39-3253-417E-A71E-F7737A7DE884}">
  <dimension ref="A1:I25"/>
  <sheetViews>
    <sheetView showGridLines="0" zoomScale="101" workbookViewId="0">
      <selection activeCell="C25" sqref="C25"/>
    </sheetView>
  </sheetViews>
  <sheetFormatPr defaultRowHeight="14.4" x14ac:dyDescent="0.3"/>
  <cols>
    <col min="1" max="1" width="1.88671875" customWidth="1"/>
    <col min="2" max="2" width="20.88671875" bestFit="1" customWidth="1"/>
    <col min="3" max="3" width="15.77734375" customWidth="1"/>
  </cols>
  <sheetData>
    <row r="1" spans="1:9" ht="15" thickBot="1" x14ac:dyDescent="0.35"/>
    <row r="2" spans="1:9" x14ac:dyDescent="0.3">
      <c r="A2" t="s">
        <v>7</v>
      </c>
      <c r="B2" s="186" t="s">
        <v>374</v>
      </c>
      <c r="C2" s="187"/>
      <c r="D2" s="187"/>
      <c r="E2" s="187"/>
      <c r="F2" s="187"/>
      <c r="G2" s="187"/>
      <c r="H2" s="187"/>
      <c r="I2" s="188"/>
    </row>
    <row r="3" spans="1:9" ht="15" thickBot="1" x14ac:dyDescent="0.35">
      <c r="B3" s="189"/>
      <c r="C3" s="190"/>
      <c r="D3" s="190"/>
      <c r="E3" s="190"/>
      <c r="F3" s="190"/>
      <c r="G3" s="190"/>
      <c r="H3" s="190"/>
      <c r="I3" s="191"/>
    </row>
    <row r="4" spans="1:9" x14ac:dyDescent="0.3">
      <c r="B4" s="165"/>
      <c r="I4" s="164"/>
    </row>
    <row r="5" spans="1:9" x14ac:dyDescent="0.3">
      <c r="B5" s="165" t="s">
        <v>386</v>
      </c>
      <c r="I5" s="164"/>
    </row>
    <row r="6" spans="1:9" x14ac:dyDescent="0.3">
      <c r="B6" s="163" t="s">
        <v>387</v>
      </c>
      <c r="C6" t="s">
        <v>389</v>
      </c>
      <c r="I6" s="164"/>
    </row>
    <row r="7" spans="1:9" x14ac:dyDescent="0.3">
      <c r="B7" s="163" t="s">
        <v>388</v>
      </c>
      <c r="C7" t="s">
        <v>390</v>
      </c>
      <c r="I7" s="164"/>
    </row>
    <row r="8" spans="1:9" x14ac:dyDescent="0.3">
      <c r="B8" s="165" t="s">
        <v>349</v>
      </c>
      <c r="C8" s="118">
        <f>C21*(1-C9)</f>
        <v>4.3431853828870243E-2</v>
      </c>
      <c r="I8" s="164"/>
    </row>
    <row r="9" spans="1:9" ht="16.2" x14ac:dyDescent="0.3">
      <c r="B9" s="163" t="s">
        <v>397</v>
      </c>
      <c r="C9" s="46">
        <f>Valuation!D5</f>
        <v>0.27</v>
      </c>
      <c r="I9" s="164"/>
    </row>
    <row r="10" spans="1:9" x14ac:dyDescent="0.3">
      <c r="B10" s="165" t="s">
        <v>373</v>
      </c>
      <c r="I10" s="164"/>
    </row>
    <row r="11" spans="1:9" x14ac:dyDescent="0.3">
      <c r="B11" s="163" t="s">
        <v>358</v>
      </c>
      <c r="C11" s="115" t="s">
        <v>359</v>
      </c>
      <c r="I11" s="164"/>
    </row>
    <row r="12" spans="1:9" x14ac:dyDescent="0.3">
      <c r="B12" s="163" t="s">
        <v>355</v>
      </c>
      <c r="C12" s="20">
        <v>1000</v>
      </c>
      <c r="I12" s="164"/>
    </row>
    <row r="13" spans="1:9" x14ac:dyDescent="0.3">
      <c r="B13" s="163" t="s">
        <v>350</v>
      </c>
      <c r="C13" s="84">
        <v>1.23597</v>
      </c>
      <c r="I13" s="164"/>
    </row>
    <row r="14" spans="1:9" x14ac:dyDescent="0.3">
      <c r="B14" s="163" t="s">
        <v>357</v>
      </c>
      <c r="C14">
        <f>C13*C12</f>
        <v>1235.97</v>
      </c>
      <c r="I14" s="164"/>
    </row>
    <row r="15" spans="1:9" x14ac:dyDescent="0.3">
      <c r="B15" s="163" t="s">
        <v>351</v>
      </c>
      <c r="C15" s="166">
        <v>70704</v>
      </c>
      <c r="I15" s="164"/>
    </row>
    <row r="16" spans="1:9" x14ac:dyDescent="0.3">
      <c r="B16" s="163" t="s">
        <v>352</v>
      </c>
      <c r="C16" s="166">
        <v>45858</v>
      </c>
      <c r="I16" s="164"/>
    </row>
    <row r="17" spans="1:9" x14ac:dyDescent="0.3">
      <c r="B17" s="163" t="s">
        <v>353</v>
      </c>
      <c r="C17" s="25">
        <f>(YEARFRAC(C16,C15,))*2</f>
        <v>136.05000000000001</v>
      </c>
      <c r="I17" s="164"/>
    </row>
    <row r="18" spans="1:9" x14ac:dyDescent="0.3">
      <c r="B18" s="163" t="s">
        <v>354</v>
      </c>
      <c r="C18" s="29">
        <f>7.38%/2</f>
        <v>3.6900000000000002E-2</v>
      </c>
      <c r="I18" s="164"/>
    </row>
    <row r="19" spans="1:9" x14ac:dyDescent="0.3">
      <c r="B19" s="163" t="s">
        <v>356</v>
      </c>
      <c r="C19">
        <f>(C18*C12)</f>
        <v>36.900000000000006</v>
      </c>
      <c r="I19" s="164"/>
    </row>
    <row r="20" spans="1:9" x14ac:dyDescent="0.3">
      <c r="B20" s="163" t="s">
        <v>360</v>
      </c>
      <c r="C20" s="29">
        <f>RATE(C17,C19,-C14,C12,)</f>
        <v>2.9747845088267291E-2</v>
      </c>
      <c r="I20" s="164"/>
    </row>
    <row r="21" spans="1:9" x14ac:dyDescent="0.3">
      <c r="B21" s="165" t="s">
        <v>361</v>
      </c>
      <c r="C21" s="118">
        <f>C20*2</f>
        <v>5.9495690176534582E-2</v>
      </c>
      <c r="I21" s="164"/>
    </row>
    <row r="22" spans="1:9" ht="15" thickBot="1" x14ac:dyDescent="0.35">
      <c r="B22" s="169"/>
      <c r="C22" s="170"/>
      <c r="D22" s="167"/>
      <c r="E22" s="167"/>
      <c r="F22" s="167"/>
      <c r="G22" s="167"/>
      <c r="H22" s="167"/>
      <c r="I22" s="168"/>
    </row>
    <row r="24" spans="1:9" x14ac:dyDescent="0.3">
      <c r="B24" s="176" t="s">
        <v>380</v>
      </c>
    </row>
    <row r="25" spans="1:9" x14ac:dyDescent="0.3">
      <c r="A25" t="s">
        <v>7</v>
      </c>
      <c r="B25" s="59" t="s">
        <v>396</v>
      </c>
    </row>
  </sheetData>
  <mergeCells count="1">
    <mergeCell ref="B2:I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6A73-617A-4E06-8AFA-F598C48CA6D4}">
  <dimension ref="A1:R298"/>
  <sheetViews>
    <sheetView showGridLines="0" zoomScale="101" workbookViewId="0">
      <selection activeCell="A2" sqref="A2"/>
    </sheetView>
  </sheetViews>
  <sheetFormatPr defaultRowHeight="14.4" x14ac:dyDescent="0.3"/>
  <cols>
    <col min="1" max="1" width="1.88671875" customWidth="1"/>
    <col min="2" max="2" width="30.21875" bestFit="1" customWidth="1"/>
    <col min="3" max="3" width="20.21875" bestFit="1" customWidth="1"/>
    <col min="4" max="5" width="15.77734375" customWidth="1"/>
    <col min="6" max="6" width="22.44140625" bestFit="1" customWidth="1"/>
    <col min="7" max="10" width="15.77734375" customWidth="1"/>
    <col min="11" max="11" width="12.6640625" bestFit="1" customWidth="1"/>
    <col min="12" max="15" width="15.77734375" customWidth="1"/>
    <col min="17" max="18" width="15.77734375" customWidth="1"/>
  </cols>
  <sheetData>
    <row r="1" spans="1:7" ht="15" thickBot="1" x14ac:dyDescent="0.35"/>
    <row r="2" spans="1:7" x14ac:dyDescent="0.3">
      <c r="A2" t="s">
        <v>7</v>
      </c>
      <c r="B2" s="186" t="s">
        <v>372</v>
      </c>
      <c r="C2" s="187"/>
      <c r="D2" s="187"/>
      <c r="E2" s="187"/>
      <c r="F2" s="187"/>
      <c r="G2" s="188"/>
    </row>
    <row r="3" spans="1:7" ht="15" thickBot="1" x14ac:dyDescent="0.35">
      <c r="B3" s="189"/>
      <c r="C3" s="190"/>
      <c r="D3" s="190"/>
      <c r="E3" s="190"/>
      <c r="F3" s="190"/>
      <c r="G3" s="191"/>
    </row>
    <row r="5" spans="1:7" ht="16.2" x14ac:dyDescent="0.3">
      <c r="B5" s="18" t="s">
        <v>391</v>
      </c>
      <c r="C5" s="146">
        <v>4.4159999999999998E-2</v>
      </c>
    </row>
    <row r="7" spans="1:7" ht="16.2" x14ac:dyDescent="0.3">
      <c r="B7" s="127" t="s">
        <v>392</v>
      </c>
      <c r="C7" s="126" t="s">
        <v>165</v>
      </c>
      <c r="D7" s="171" t="s">
        <v>166</v>
      </c>
    </row>
    <row r="8" spans="1:7" x14ac:dyDescent="0.3">
      <c r="B8" s="162">
        <v>31048</v>
      </c>
      <c r="C8" s="148">
        <v>1985</v>
      </c>
      <c r="D8" s="150">
        <v>179.63</v>
      </c>
    </row>
    <row r="9" spans="1:7" x14ac:dyDescent="0.3">
      <c r="B9" s="162">
        <v>45857</v>
      </c>
      <c r="C9" s="148">
        <v>2025</v>
      </c>
      <c r="D9" s="150">
        <v>6296.79</v>
      </c>
    </row>
    <row r="10" spans="1:7" x14ac:dyDescent="0.3">
      <c r="B10" s="10" t="s">
        <v>167</v>
      </c>
      <c r="C10" s="115">
        <f>YEARFRAC(B8,B9)</f>
        <v>40.549999999999997</v>
      </c>
      <c r="D10" s="130"/>
    </row>
    <row r="11" spans="1:7" x14ac:dyDescent="0.3">
      <c r="C11" s="115"/>
    </row>
    <row r="12" spans="1:7" x14ac:dyDescent="0.3">
      <c r="B12" t="s">
        <v>168</v>
      </c>
      <c r="C12" s="173">
        <f>(D9/D8)^(1/C10)-1</f>
        <v>9.1678372005945308E-2</v>
      </c>
    </row>
    <row r="13" spans="1:7" x14ac:dyDescent="0.3">
      <c r="B13" t="s">
        <v>347</v>
      </c>
      <c r="C13" s="25">
        <f>F29</f>
        <v>0.44407786712618597</v>
      </c>
    </row>
    <row r="14" spans="1:7" x14ac:dyDescent="0.3">
      <c r="B14" s="18" t="s">
        <v>348</v>
      </c>
      <c r="C14" s="118">
        <f>C5+(C12-C5)*C13</f>
        <v>6.5261857289708847E-2</v>
      </c>
    </row>
    <row r="15" spans="1:7" x14ac:dyDescent="0.3">
      <c r="B15" s="18"/>
      <c r="C15" s="118"/>
    </row>
    <row r="17" spans="2:10" x14ac:dyDescent="0.3">
      <c r="B17" s="134" t="s">
        <v>336</v>
      </c>
      <c r="C17" s="134" t="s">
        <v>335</v>
      </c>
      <c r="D17" s="134" t="s">
        <v>337</v>
      </c>
      <c r="E17" s="134" t="s">
        <v>339</v>
      </c>
      <c r="F17" s="134" t="s">
        <v>338</v>
      </c>
      <c r="G17" s="134" t="s">
        <v>340</v>
      </c>
    </row>
    <row r="18" spans="2:10" x14ac:dyDescent="0.3">
      <c r="B18" s="135" t="s">
        <v>344</v>
      </c>
      <c r="C18" s="128"/>
      <c r="D18" s="128"/>
      <c r="E18" s="130"/>
      <c r="F18" s="128"/>
      <c r="G18" s="128"/>
    </row>
    <row r="19" spans="2:10" x14ac:dyDescent="0.3">
      <c r="B19" s="128" t="s">
        <v>169</v>
      </c>
      <c r="C19" s="158">
        <f>H36</f>
        <v>0.42653283450180013</v>
      </c>
      <c r="D19" s="149">
        <v>268203</v>
      </c>
      <c r="E19" s="150">
        <v>29951</v>
      </c>
      <c r="F19" s="128">
        <f>SUM(D19:E19)</f>
        <v>298154</v>
      </c>
      <c r="G19" s="129">
        <f>C19/(1+((E19*(1-Valuation!$D$5))/D19))</f>
        <v>0.39438231547867819</v>
      </c>
    </row>
    <row r="20" spans="2:10" x14ac:dyDescent="0.3">
      <c r="B20" s="128"/>
      <c r="C20" s="158"/>
      <c r="D20" s="128"/>
      <c r="E20" s="130"/>
      <c r="F20" s="128"/>
      <c r="G20" s="129"/>
    </row>
    <row r="21" spans="2:10" x14ac:dyDescent="0.3">
      <c r="B21" s="135" t="s">
        <v>345</v>
      </c>
      <c r="C21" s="159"/>
      <c r="D21" s="128"/>
      <c r="E21" s="130"/>
      <c r="F21" s="128"/>
      <c r="G21" s="128"/>
    </row>
    <row r="22" spans="2:10" x14ac:dyDescent="0.3">
      <c r="B22" s="128" t="s">
        <v>173</v>
      </c>
      <c r="C22" s="158">
        <f>K36</f>
        <v>0.37732383599121605</v>
      </c>
      <c r="D22" s="149">
        <v>212201</v>
      </c>
      <c r="E22" s="150">
        <v>35040</v>
      </c>
      <c r="F22" s="128">
        <f t="shared" ref="F22:F24" si="0">SUM(D22:E22)</f>
        <v>247241</v>
      </c>
      <c r="G22" s="129">
        <f>C22/(1+((E22*(1-Valuation!$D$5))/D22))</f>
        <v>0.3367332322925628</v>
      </c>
    </row>
    <row r="23" spans="2:10" x14ac:dyDescent="0.3">
      <c r="B23" s="128" t="s">
        <v>174</v>
      </c>
      <c r="C23" s="158">
        <f>N36</f>
        <v>0.56391025689687768</v>
      </c>
      <c r="D23" s="149">
        <v>51116</v>
      </c>
      <c r="E23" s="150">
        <v>0</v>
      </c>
      <c r="F23" s="128">
        <f t="shared" si="0"/>
        <v>51116</v>
      </c>
      <c r="G23" s="129">
        <f>C23/(1+((E23*(1-Valuation!$D$5))/D23))</f>
        <v>0.56391025689687768</v>
      </c>
      <c r="H23" s="18"/>
      <c r="I23" s="18"/>
      <c r="J23" s="18"/>
    </row>
    <row r="24" spans="2:10" x14ac:dyDescent="0.3">
      <c r="B24" s="133" t="s">
        <v>172</v>
      </c>
      <c r="C24" s="160">
        <f>Q36</f>
        <v>0.41464699554720241</v>
      </c>
      <c r="D24" s="151">
        <v>43569</v>
      </c>
      <c r="E24" s="152">
        <v>15044</v>
      </c>
      <c r="F24" s="133">
        <f t="shared" si="0"/>
        <v>58613</v>
      </c>
      <c r="G24" s="132">
        <f>C24/(1+((E24*(1-Valuation!$D$5))/D24))</f>
        <v>0.33117110975899422</v>
      </c>
      <c r="H24" s="18"/>
      <c r="I24" s="18"/>
      <c r="J24" s="18"/>
    </row>
    <row r="25" spans="2:10" x14ac:dyDescent="0.3">
      <c r="C25" s="25"/>
      <c r="F25" s="134" t="s">
        <v>341</v>
      </c>
      <c r="G25" s="136">
        <f>AVERAGE(G22:G24)</f>
        <v>0.41060486631614496</v>
      </c>
      <c r="H25" s="18"/>
      <c r="I25" s="18"/>
      <c r="J25" s="18"/>
    </row>
    <row r="26" spans="2:10" x14ac:dyDescent="0.3">
      <c r="C26" s="25"/>
      <c r="G26" s="25"/>
      <c r="H26" s="18"/>
      <c r="I26" s="18"/>
      <c r="J26" s="18"/>
    </row>
    <row r="27" spans="2:10" x14ac:dyDescent="0.3">
      <c r="B27" s="18" t="s">
        <v>346</v>
      </c>
      <c r="C27" s="25"/>
      <c r="G27" s="25"/>
      <c r="H27" s="18"/>
      <c r="I27" s="18"/>
      <c r="J27" s="18"/>
    </row>
    <row r="28" spans="2:10" x14ac:dyDescent="0.3">
      <c r="B28" s="126" t="s">
        <v>343</v>
      </c>
      <c r="C28" s="137" t="s">
        <v>337</v>
      </c>
      <c r="D28" s="126" t="s">
        <v>339</v>
      </c>
      <c r="E28" s="126" t="s">
        <v>338</v>
      </c>
      <c r="F28" s="126" t="s">
        <v>342</v>
      </c>
      <c r="G28" s="25"/>
      <c r="H28" s="18"/>
      <c r="I28" s="18"/>
      <c r="J28" s="18"/>
    </row>
    <row r="29" spans="2:10" x14ac:dyDescent="0.3">
      <c r="B29" s="161">
        <f>G25</f>
        <v>0.41060486631614496</v>
      </c>
      <c r="C29" s="161">
        <f>D19</f>
        <v>268203</v>
      </c>
      <c r="D29" s="161">
        <f t="shared" ref="D29:E29" si="1">E19</f>
        <v>29951</v>
      </c>
      <c r="E29" s="161">
        <f t="shared" si="1"/>
        <v>298154</v>
      </c>
      <c r="F29" s="117">
        <f>B29*(1+((D29*(1-Valuation!D5)/'Cost of Equity'!C29)))</f>
        <v>0.44407786712618597</v>
      </c>
      <c r="G29" s="25"/>
      <c r="H29" s="18"/>
      <c r="I29" s="18"/>
      <c r="J29" s="18"/>
    </row>
    <row r="30" spans="2:10" x14ac:dyDescent="0.3">
      <c r="C30" s="25"/>
      <c r="G30" s="25"/>
      <c r="H30" s="18"/>
      <c r="I30" s="18"/>
      <c r="J30" s="18"/>
    </row>
    <row r="31" spans="2:10" x14ac:dyDescent="0.3">
      <c r="B31" s="176" t="s">
        <v>375</v>
      </c>
      <c r="C31" s="25"/>
      <c r="G31" s="25"/>
      <c r="H31" s="18"/>
      <c r="I31" s="18"/>
      <c r="J31" s="18"/>
    </row>
    <row r="32" spans="2:10" x14ac:dyDescent="0.3">
      <c r="B32" s="59" t="s">
        <v>393</v>
      </c>
      <c r="C32" s="25"/>
      <c r="G32" s="25"/>
      <c r="H32" s="18"/>
      <c r="I32" s="18"/>
      <c r="J32" s="18"/>
    </row>
    <row r="33" spans="1:18" x14ac:dyDescent="0.3">
      <c r="A33" t="s">
        <v>7</v>
      </c>
      <c r="B33" s="59" t="s">
        <v>394</v>
      </c>
      <c r="C33" s="25"/>
      <c r="G33" s="25"/>
      <c r="H33" s="18"/>
      <c r="I33" s="18"/>
      <c r="J33" s="18"/>
    </row>
    <row r="34" spans="1:18" x14ac:dyDescent="0.3">
      <c r="C34" s="116"/>
      <c r="D34" s="18"/>
      <c r="E34" s="18"/>
      <c r="F34" s="18"/>
      <c r="G34" s="18"/>
      <c r="H34" s="18"/>
      <c r="I34" s="18"/>
      <c r="J34" s="18"/>
    </row>
    <row r="35" spans="1:18" x14ac:dyDescent="0.3">
      <c r="E35" s="192" t="s">
        <v>175</v>
      </c>
      <c r="F35" s="192"/>
      <c r="G35" s="116"/>
      <c r="H35" s="192" t="s">
        <v>169</v>
      </c>
      <c r="I35" s="192"/>
      <c r="J35" s="116"/>
      <c r="K35" s="192" t="s">
        <v>173</v>
      </c>
      <c r="L35" s="192"/>
      <c r="M35" s="116"/>
      <c r="N35" s="192" t="s">
        <v>174</v>
      </c>
      <c r="O35" s="192"/>
      <c r="P35" s="116"/>
      <c r="Q35" s="192" t="s">
        <v>172</v>
      </c>
      <c r="R35" s="192"/>
    </row>
    <row r="36" spans="1:18" x14ac:dyDescent="0.3">
      <c r="B36" s="126" t="s">
        <v>335</v>
      </c>
      <c r="C36" s="19"/>
      <c r="D36" s="19"/>
      <c r="E36" s="138">
        <f>SLOPE(F38:F297,$F$38:$F$297)</f>
        <v>1</v>
      </c>
      <c r="F36" s="139"/>
      <c r="G36" s="138"/>
      <c r="H36" s="140">
        <f>SLOPE(I38:I297,$F$38:$F$297)</f>
        <v>0.42653283450180013</v>
      </c>
      <c r="I36" s="139"/>
      <c r="J36" s="138"/>
      <c r="K36" s="140">
        <f>SLOPE(L38:L297,$F$38:$F$297)</f>
        <v>0.37732383599121605</v>
      </c>
      <c r="L36" s="139"/>
      <c r="M36" s="138"/>
      <c r="N36" s="140">
        <f>SLOPE(O38:O297,$F$38:$F$297)</f>
        <v>0.56391025689687768</v>
      </c>
      <c r="O36" s="139"/>
      <c r="P36" s="138"/>
      <c r="Q36" s="140">
        <f>SLOPE(R38:R297,$F$38:$F$297)</f>
        <v>0.41464699554720241</v>
      </c>
      <c r="R36" s="139"/>
    </row>
    <row r="37" spans="1:18" x14ac:dyDescent="0.3">
      <c r="C37" s="18" t="s">
        <v>164</v>
      </c>
      <c r="E37" s="134" t="s">
        <v>170</v>
      </c>
      <c r="F37" s="134" t="s">
        <v>171</v>
      </c>
      <c r="G37" s="116"/>
      <c r="H37" s="144" t="s">
        <v>170</v>
      </c>
      <c r="I37" s="144" t="s">
        <v>171</v>
      </c>
      <c r="J37" s="116"/>
      <c r="K37" s="144" t="s">
        <v>170</v>
      </c>
      <c r="L37" s="144" t="s">
        <v>171</v>
      </c>
      <c r="M37" s="116"/>
      <c r="N37" s="145" t="s">
        <v>170</v>
      </c>
      <c r="O37" s="145" t="s">
        <v>171</v>
      </c>
      <c r="P37" s="116"/>
      <c r="Q37" s="145" t="s">
        <v>170</v>
      </c>
      <c r="R37" s="145" t="s">
        <v>171</v>
      </c>
    </row>
    <row r="38" spans="1:18" x14ac:dyDescent="0.3">
      <c r="C38" s="157" t="s">
        <v>176</v>
      </c>
      <c r="E38" s="153">
        <v>6296.79</v>
      </c>
      <c r="F38" s="112">
        <f>E38/E39-1</f>
        <v>5.9171692160229217E-3</v>
      </c>
      <c r="G38" s="35"/>
      <c r="H38" s="156">
        <v>69.849999999999994</v>
      </c>
      <c r="I38" s="141">
        <f>H38/H39-1</f>
        <v>-2.8624588521553029E-4</v>
      </c>
      <c r="J38" s="35"/>
      <c r="K38" s="156">
        <v>143.27000000000001</v>
      </c>
      <c r="L38" s="142">
        <f>K38/K39-1</f>
        <v>5.9219281384001343E-2</v>
      </c>
      <c r="M38" s="35"/>
      <c r="N38" s="149">
        <v>59</v>
      </c>
      <c r="O38" s="143">
        <f t="shared" ref="O38:O101" si="2">N38/N39-1</f>
        <v>2.8896821349650992E-3</v>
      </c>
      <c r="P38" s="35"/>
      <c r="Q38" s="149">
        <v>33.54</v>
      </c>
      <c r="R38" s="143">
        <f>Q38/Q39-1</f>
        <v>1.4929829799938954E-3</v>
      </c>
    </row>
    <row r="39" spans="1:18" x14ac:dyDescent="0.3">
      <c r="C39" s="147">
        <v>45815</v>
      </c>
      <c r="E39" s="154">
        <v>6259.75</v>
      </c>
      <c r="F39" s="112">
        <f t="shared" ref="F39:I102" si="3">E39/E40-1</f>
        <v>-3.1213421771362215E-3</v>
      </c>
      <c r="G39" s="35"/>
      <c r="H39" s="149">
        <v>69.87</v>
      </c>
      <c r="I39" s="112">
        <f t="shared" si="3"/>
        <v>-2.0742817098808541E-2</v>
      </c>
      <c r="J39" s="35"/>
      <c r="K39" s="149">
        <v>135.26</v>
      </c>
      <c r="L39" s="143">
        <f t="shared" ref="L39" si="4">K39/K40-1</f>
        <v>-8.8639385433597617E-4</v>
      </c>
      <c r="M39" s="35"/>
      <c r="N39" s="149">
        <v>58.83</v>
      </c>
      <c r="O39" s="143">
        <f t="shared" si="2"/>
        <v>-6.7374762206721672E-2</v>
      </c>
      <c r="P39" s="35"/>
      <c r="Q39" s="149">
        <v>33.49</v>
      </c>
      <c r="R39" s="143">
        <f t="shared" ref="R39" si="5">Q39/Q40-1</f>
        <v>-8.8783663805859225E-3</v>
      </c>
    </row>
    <row r="40" spans="1:18" x14ac:dyDescent="0.3">
      <c r="C40" s="157" t="s">
        <v>177</v>
      </c>
      <c r="E40" s="154">
        <v>6279.35</v>
      </c>
      <c r="F40" s="112">
        <f t="shared" si="3"/>
        <v>1.721671712778261E-2</v>
      </c>
      <c r="G40" s="35"/>
      <c r="H40" s="149">
        <v>71.349999999999994</v>
      </c>
      <c r="I40" s="112">
        <f t="shared" si="3"/>
        <v>1.4503057016920229E-2</v>
      </c>
      <c r="J40" s="35"/>
      <c r="K40" s="149">
        <v>135.38</v>
      </c>
      <c r="L40" s="143">
        <f t="shared" ref="L40" si="6">K40/K41-1</f>
        <v>3.3119658119658224E-2</v>
      </c>
      <c r="M40" s="35"/>
      <c r="N40" s="149">
        <v>63.08</v>
      </c>
      <c r="O40" s="143">
        <f t="shared" si="2"/>
        <v>2.2200615783503519E-2</v>
      </c>
      <c r="P40" s="35"/>
      <c r="Q40" s="149">
        <v>33.79</v>
      </c>
      <c r="R40" s="143">
        <f t="shared" ref="R40" si="7">Q40/Q41-1</f>
        <v>2.8614916286149095E-2</v>
      </c>
    </row>
    <row r="41" spans="1:18" x14ac:dyDescent="0.3">
      <c r="C41" s="157" t="s">
        <v>178</v>
      </c>
      <c r="E41" s="154">
        <v>6173.07</v>
      </c>
      <c r="F41" s="112">
        <f t="shared" si="3"/>
        <v>3.4389326791602892E-2</v>
      </c>
      <c r="G41" s="35"/>
      <c r="H41" s="149">
        <v>70.33</v>
      </c>
      <c r="I41" s="112">
        <f t="shared" si="3"/>
        <v>2.1644392794886613E-2</v>
      </c>
      <c r="J41" s="35"/>
      <c r="K41" s="149">
        <v>131.04</v>
      </c>
      <c r="L41" s="143">
        <f t="shared" ref="L41" si="8">K41/K42-1</f>
        <v>1.5263035562098182E-2</v>
      </c>
      <c r="M41" s="35"/>
      <c r="N41" s="149">
        <v>61.71</v>
      </c>
      <c r="O41" s="143">
        <f t="shared" si="2"/>
        <v>-2.1873514027579644E-2</v>
      </c>
      <c r="P41" s="35"/>
      <c r="Q41" s="149">
        <v>32.85</v>
      </c>
      <c r="R41" s="143">
        <f t="shared" ref="R41" si="9">Q41/Q42-1</f>
        <v>-2.1739130434782483E-2</v>
      </c>
    </row>
    <row r="42" spans="1:18" x14ac:dyDescent="0.3">
      <c r="C42" s="157" t="s">
        <v>179</v>
      </c>
      <c r="E42" s="154">
        <v>5967.84</v>
      </c>
      <c r="F42" s="112">
        <f t="shared" si="3"/>
        <v>-1.5275298353514266E-3</v>
      </c>
      <c r="G42" s="35"/>
      <c r="H42" s="149">
        <v>68.84</v>
      </c>
      <c r="I42" s="112">
        <f t="shared" si="3"/>
        <v>-3.0695578710222327E-2</v>
      </c>
      <c r="J42" s="35"/>
      <c r="K42" s="149">
        <v>129.07</v>
      </c>
      <c r="L42" s="143">
        <f t="shared" ref="L42" si="10">K42/K43-1</f>
        <v>-1.3603362628964444E-2</v>
      </c>
      <c r="M42" s="35"/>
      <c r="N42" s="149">
        <v>63.09</v>
      </c>
      <c r="O42" s="143">
        <f t="shared" si="2"/>
        <v>4.757373929591413E-4</v>
      </c>
      <c r="P42" s="35"/>
      <c r="Q42" s="149">
        <v>33.58</v>
      </c>
      <c r="R42" s="143">
        <f t="shared" ref="R42" si="11">Q42/Q43-1</f>
        <v>1.6959418534221449E-2</v>
      </c>
    </row>
    <row r="43" spans="1:18" x14ac:dyDescent="0.3">
      <c r="C43" s="147">
        <v>45875</v>
      </c>
      <c r="E43" s="154">
        <v>5976.97</v>
      </c>
      <c r="F43" s="112">
        <f t="shared" si="3"/>
        <v>-3.8980994473664099E-3</v>
      </c>
      <c r="G43" s="35"/>
      <c r="H43" s="149">
        <v>71.02</v>
      </c>
      <c r="I43" s="112">
        <f t="shared" si="3"/>
        <v>-4.6250875963559368E-3</v>
      </c>
      <c r="J43" s="35"/>
      <c r="K43" s="149">
        <v>130.85</v>
      </c>
      <c r="L43" s="143">
        <f t="shared" ref="L43" si="12">K43/K44-1</f>
        <v>6.3062370222255471E-3</v>
      </c>
      <c r="M43" s="35"/>
      <c r="N43" s="149">
        <v>63.06</v>
      </c>
      <c r="O43" s="143">
        <f t="shared" si="2"/>
        <v>-5.5196341271092075E-3</v>
      </c>
      <c r="P43" s="35"/>
      <c r="Q43" s="149">
        <v>33.020000000000003</v>
      </c>
      <c r="R43" s="143">
        <f t="shared" ref="R43" si="13">Q43/Q44-1</f>
        <v>7.6289288983826253E-3</v>
      </c>
    </row>
    <row r="44" spans="1:18" x14ac:dyDescent="0.3">
      <c r="C44" s="147">
        <v>45663</v>
      </c>
      <c r="E44" s="154">
        <v>6000.36</v>
      </c>
      <c r="F44" s="112">
        <f t="shared" si="3"/>
        <v>1.4999095013439545E-2</v>
      </c>
      <c r="G44" s="35"/>
      <c r="H44" s="149">
        <v>71.349999999999994</v>
      </c>
      <c r="I44" s="112">
        <f t="shared" si="3"/>
        <v>-1.0402219140083213E-2</v>
      </c>
      <c r="J44" s="35"/>
      <c r="K44" s="149">
        <v>130.03</v>
      </c>
      <c r="L44" s="143">
        <f t="shared" ref="L44" si="14">K44/K45-1</f>
        <v>-1.0802586534804037E-2</v>
      </c>
      <c r="M44" s="35"/>
      <c r="N44" s="149">
        <v>63.41</v>
      </c>
      <c r="O44" s="143">
        <f t="shared" si="2"/>
        <v>-8.4440969507428854E-3</v>
      </c>
      <c r="P44" s="35"/>
      <c r="Q44" s="149">
        <v>32.770000000000003</v>
      </c>
      <c r="R44" s="143">
        <f t="shared" ref="R44" si="15">Q44/Q45-1</f>
        <v>-2.6730026730026668E-2</v>
      </c>
    </row>
    <row r="45" spans="1:18" x14ac:dyDescent="0.3">
      <c r="C45" s="157" t="s">
        <v>180</v>
      </c>
      <c r="E45" s="154">
        <v>5911.69</v>
      </c>
      <c r="F45" s="112">
        <f t="shared" si="3"/>
        <v>1.8761567651589983E-2</v>
      </c>
      <c r="G45" s="35"/>
      <c r="H45" s="149">
        <v>72.099999999999994</v>
      </c>
      <c r="I45" s="112">
        <f t="shared" si="3"/>
        <v>4.5980214574334877E-3</v>
      </c>
      <c r="J45" s="35"/>
      <c r="K45" s="149">
        <v>131.44999999999999</v>
      </c>
      <c r="L45" s="143">
        <f t="shared" ref="L45" si="16">K45/K46-1</f>
        <v>1.63135920828823E-2</v>
      </c>
      <c r="M45" s="35"/>
      <c r="N45" s="149">
        <v>63.95</v>
      </c>
      <c r="O45" s="143">
        <f t="shared" si="2"/>
        <v>9.3118686868687295E-3</v>
      </c>
      <c r="P45" s="35"/>
      <c r="Q45" s="149">
        <v>33.67</v>
      </c>
      <c r="R45" s="143">
        <f t="shared" ref="R45" si="17">Q45/Q46-1</f>
        <v>2.2782503037667157E-2</v>
      </c>
    </row>
    <row r="46" spans="1:18" x14ac:dyDescent="0.3">
      <c r="C46" s="157" t="s">
        <v>181</v>
      </c>
      <c r="E46" s="154">
        <v>5802.82</v>
      </c>
      <c r="F46" s="112">
        <f t="shared" si="3"/>
        <v>-2.610776754755495E-2</v>
      </c>
      <c r="G46" s="35"/>
      <c r="H46" s="149">
        <v>71.77</v>
      </c>
      <c r="I46" s="112">
        <f t="shared" si="3"/>
        <v>-3.1944444444444997E-3</v>
      </c>
      <c r="J46" s="35"/>
      <c r="K46" s="149">
        <v>129.34</v>
      </c>
      <c r="L46" s="143">
        <f t="shared" ref="L46" si="18">K46/K47-1</f>
        <v>-2.000303076223664E-2</v>
      </c>
      <c r="M46" s="35"/>
      <c r="N46" s="149">
        <v>63.36</v>
      </c>
      <c r="O46" s="143">
        <f t="shared" si="2"/>
        <v>7.9541839007317705E-3</v>
      </c>
      <c r="P46" s="35"/>
      <c r="Q46" s="149">
        <v>32.92</v>
      </c>
      <c r="R46" s="143">
        <f t="shared" ref="R46" si="19">Q46/Q47-1</f>
        <v>-2.6611472501478328E-2</v>
      </c>
    </row>
    <row r="47" spans="1:18" x14ac:dyDescent="0.3">
      <c r="C47" s="147">
        <v>45966</v>
      </c>
      <c r="E47" s="154">
        <v>5958.38</v>
      </c>
      <c r="F47" s="112">
        <f t="shared" si="3"/>
        <v>5.2734054075064929E-2</v>
      </c>
      <c r="G47" s="35"/>
      <c r="H47" s="149">
        <v>72</v>
      </c>
      <c r="I47" s="112">
        <f t="shared" si="3"/>
        <v>2.0986954055587148E-2</v>
      </c>
      <c r="J47" s="35"/>
      <c r="K47" s="149">
        <v>131.97999999999999</v>
      </c>
      <c r="L47" s="143">
        <f t="shared" ref="L47" si="20">K47/K48-1</f>
        <v>1.1806194418889859E-2</v>
      </c>
      <c r="M47" s="35"/>
      <c r="N47" s="149">
        <v>62.86</v>
      </c>
      <c r="O47" s="143">
        <f t="shared" si="2"/>
        <v>3.0491803278688501E-2</v>
      </c>
      <c r="P47" s="35"/>
      <c r="Q47" s="149">
        <v>33.82</v>
      </c>
      <c r="R47" s="143">
        <f t="shared" ref="R47" si="21">Q47/Q48-1</f>
        <v>8.3482409063804219E-3</v>
      </c>
    </row>
    <row r="48" spans="1:18" x14ac:dyDescent="0.3">
      <c r="C48" s="147">
        <v>45752</v>
      </c>
      <c r="E48" s="154">
        <v>5659.91</v>
      </c>
      <c r="F48" s="112">
        <f t="shared" si="3"/>
        <v>-4.7057416730705848E-3</v>
      </c>
      <c r="G48" s="35"/>
      <c r="H48" s="149">
        <v>70.52</v>
      </c>
      <c r="I48" s="112">
        <f t="shared" si="3"/>
        <v>-1.5771109560362984E-2</v>
      </c>
      <c r="J48" s="35"/>
      <c r="K48" s="149">
        <v>130.44</v>
      </c>
      <c r="L48" s="143">
        <f t="shared" ref="L48" si="22">K48/K49-1</f>
        <v>-2.4747663551401899E-2</v>
      </c>
      <c r="M48" s="35"/>
      <c r="N48" s="149">
        <v>61</v>
      </c>
      <c r="O48" s="143">
        <f t="shared" si="2"/>
        <v>1.582014987510405E-2</v>
      </c>
      <c r="P48" s="35"/>
      <c r="Q48" s="149">
        <v>33.54</v>
      </c>
      <c r="R48" s="143">
        <f t="shared" ref="R48" si="23">Q48/Q49-1</f>
        <v>-2.5283347863993E-2</v>
      </c>
    </row>
    <row r="49" spans="3:18" x14ac:dyDescent="0.3">
      <c r="C49" s="157" t="s">
        <v>182</v>
      </c>
      <c r="E49" s="154">
        <v>5686.67</v>
      </c>
      <c r="F49" s="112">
        <f t="shared" si="3"/>
        <v>2.9222418695397989E-2</v>
      </c>
      <c r="G49" s="35"/>
      <c r="H49" s="149">
        <v>71.650000000000006</v>
      </c>
      <c r="I49" s="112">
        <f t="shared" si="3"/>
        <v>-3.6156306494227186E-3</v>
      </c>
      <c r="J49" s="35"/>
      <c r="K49" s="149">
        <v>133.75</v>
      </c>
      <c r="L49" s="143">
        <f t="shared" ref="L49" si="24">K49/K50-1</f>
        <v>2.7740290898186082E-3</v>
      </c>
      <c r="M49" s="35"/>
      <c r="N49" s="149">
        <v>60.05</v>
      </c>
      <c r="O49" s="143">
        <f t="shared" si="2"/>
        <v>2.3521390830066435E-2</v>
      </c>
      <c r="P49" s="35"/>
      <c r="Q49" s="149">
        <v>34.409999999999997</v>
      </c>
      <c r="R49" s="143">
        <f t="shared" ref="R49" si="25">Q49/Q50-1</f>
        <v>2.9069767441858296E-4</v>
      </c>
    </row>
    <row r="50" spans="3:18" x14ac:dyDescent="0.3">
      <c r="C50" s="157" t="s">
        <v>183</v>
      </c>
      <c r="E50" s="154">
        <v>5525.21</v>
      </c>
      <c r="F50" s="112">
        <f t="shared" si="3"/>
        <v>4.5906449353550371E-2</v>
      </c>
      <c r="G50" s="35"/>
      <c r="H50" s="149">
        <v>71.91</v>
      </c>
      <c r="I50" s="112">
        <f t="shared" si="3"/>
        <v>-1.4931506849315102E-2</v>
      </c>
      <c r="J50" s="35"/>
      <c r="K50" s="149">
        <v>133.38</v>
      </c>
      <c r="L50" s="143">
        <f t="shared" ref="L50" si="26">K50/K51-1</f>
        <v>-6.6227947353682537E-2</v>
      </c>
      <c r="M50" s="35"/>
      <c r="N50" s="149">
        <v>58.67</v>
      </c>
      <c r="O50" s="143">
        <f t="shared" si="2"/>
        <v>4.4512925868858133E-3</v>
      </c>
      <c r="P50" s="35"/>
      <c r="Q50" s="149">
        <v>34.4</v>
      </c>
      <c r="R50" s="143">
        <f t="shared" ref="R50" si="27">Q50/Q51-1</f>
        <v>-2.8248587570621431E-2</v>
      </c>
    </row>
    <row r="51" spans="3:18" x14ac:dyDescent="0.3">
      <c r="C51" s="157" t="s">
        <v>184</v>
      </c>
      <c r="E51" s="154">
        <v>5282.7</v>
      </c>
      <c r="F51" s="112">
        <f t="shared" si="3"/>
        <v>-1.5039079979714209E-2</v>
      </c>
      <c r="G51" s="35"/>
      <c r="H51" s="149">
        <v>73</v>
      </c>
      <c r="I51" s="112">
        <f t="shared" si="3"/>
        <v>2.1979560408791787E-2</v>
      </c>
      <c r="J51" s="35"/>
      <c r="K51" s="149">
        <v>142.84</v>
      </c>
      <c r="L51" s="143">
        <f t="shared" ref="L51" si="28">K51/K52-1</f>
        <v>-1.1008793187010979E-2</v>
      </c>
      <c r="M51" s="35"/>
      <c r="N51" s="149">
        <v>58.41</v>
      </c>
      <c r="O51" s="143">
        <f t="shared" si="2"/>
        <v>4.4711951848666054E-3</v>
      </c>
      <c r="P51" s="35"/>
      <c r="Q51" s="149">
        <v>35.4</v>
      </c>
      <c r="R51" s="143">
        <f t="shared" ref="R51" si="29">Q51/Q52-1</f>
        <v>6.8259385665530026E-3</v>
      </c>
    </row>
    <row r="52" spans="3:18" x14ac:dyDescent="0.3">
      <c r="C52" s="147">
        <v>45812</v>
      </c>
      <c r="E52" s="154">
        <v>5363.36</v>
      </c>
      <c r="F52" s="112">
        <f t="shared" si="3"/>
        <v>5.7011320278749889E-2</v>
      </c>
      <c r="G52" s="35"/>
      <c r="H52" s="149">
        <v>71.430000000000007</v>
      </c>
      <c r="I52" s="112">
        <f t="shared" si="3"/>
        <v>2.1450021450021506E-2</v>
      </c>
      <c r="J52" s="35"/>
      <c r="K52" s="149">
        <v>144.43</v>
      </c>
      <c r="L52" s="143">
        <f t="shared" ref="L52" si="30">K52/K53-1</f>
        <v>-1.486938135188598E-2</v>
      </c>
      <c r="M52" s="35"/>
      <c r="N52" s="149">
        <v>58.15</v>
      </c>
      <c r="O52" s="143">
        <f t="shared" si="2"/>
        <v>1.8745620182200495E-2</v>
      </c>
      <c r="P52" s="35"/>
      <c r="Q52" s="149">
        <v>35.159999999999997</v>
      </c>
      <c r="R52" s="143">
        <f t="shared" ref="R52" si="31">Q52/Q53-1</f>
        <v>3.9929015084294361E-2</v>
      </c>
    </row>
    <row r="53" spans="3:18" x14ac:dyDescent="0.3">
      <c r="C53" s="157" t="s">
        <v>185</v>
      </c>
      <c r="E53" s="154">
        <v>5074.08</v>
      </c>
      <c r="F53" s="112">
        <f t="shared" si="3"/>
        <v>-9.0819826050808627E-2</v>
      </c>
      <c r="G53" s="35"/>
      <c r="H53" s="149">
        <v>69.930000000000007</v>
      </c>
      <c r="I53" s="112">
        <f t="shared" si="3"/>
        <v>-6.2526644877077819E-3</v>
      </c>
      <c r="J53" s="35"/>
      <c r="K53" s="149">
        <v>146.61000000000001</v>
      </c>
      <c r="L53" s="143">
        <f t="shared" ref="L53" si="32">K53/K54-1</f>
        <v>-1.7820057613720075E-2</v>
      </c>
      <c r="M53" s="35"/>
      <c r="N53" s="149">
        <v>57.08</v>
      </c>
      <c r="O53" s="143">
        <f t="shared" si="2"/>
        <v>-1.3480815762184628E-2</v>
      </c>
      <c r="P53" s="35"/>
      <c r="Q53" s="149">
        <v>33.81</v>
      </c>
      <c r="R53" s="143">
        <f t="shared" ref="R53" si="33">Q53/Q54-1</f>
        <v>2.0746887966804906E-3</v>
      </c>
    </row>
    <row r="54" spans="3:18" x14ac:dyDescent="0.3">
      <c r="C54" s="157" t="s">
        <v>186</v>
      </c>
      <c r="E54" s="154">
        <v>5580.94</v>
      </c>
      <c r="F54" s="112">
        <f t="shared" si="3"/>
        <v>-1.5283472958380839E-2</v>
      </c>
      <c r="G54" s="35"/>
      <c r="H54" s="149">
        <v>70.37</v>
      </c>
      <c r="I54" s="112">
        <f t="shared" si="3"/>
        <v>2.4756079801951492E-2</v>
      </c>
      <c r="J54" s="35"/>
      <c r="K54" s="149">
        <v>149.27000000000001</v>
      </c>
      <c r="L54" s="143">
        <f t="shared" ref="L54" si="34">K54/K55-1</f>
        <v>2.6263320728773021E-2</v>
      </c>
      <c r="M54" s="35"/>
      <c r="N54" s="149">
        <v>57.86</v>
      </c>
      <c r="O54" s="143">
        <f t="shared" si="2"/>
        <v>9.5969289827255722E-3</v>
      </c>
      <c r="P54" s="35"/>
      <c r="Q54" s="149">
        <v>33.74</v>
      </c>
      <c r="R54" s="143">
        <f t="shared" ref="R54" si="35">Q54/Q55-1</f>
        <v>5.6631892697467379E-3</v>
      </c>
    </row>
    <row r="55" spans="3:18" x14ac:dyDescent="0.3">
      <c r="C55" s="157" t="s">
        <v>187</v>
      </c>
      <c r="E55" s="154">
        <v>5667.56</v>
      </c>
      <c r="F55" s="112">
        <f t="shared" si="3"/>
        <v>5.0754219764708175E-3</v>
      </c>
      <c r="G55" s="35"/>
      <c r="H55" s="149">
        <v>68.67</v>
      </c>
      <c r="I55" s="112">
        <f t="shared" si="3"/>
        <v>-7.0850202429149078E-3</v>
      </c>
      <c r="J55" s="35"/>
      <c r="K55" s="149">
        <v>145.44999999999999</v>
      </c>
      <c r="L55" s="143">
        <f t="shared" ref="L55" si="36">K55/K56-1</f>
        <v>-2.1131973887879463E-2</v>
      </c>
      <c r="M55" s="35"/>
      <c r="N55" s="149">
        <v>57.31</v>
      </c>
      <c r="O55" s="143">
        <f t="shared" si="2"/>
        <v>4.0297694681430407E-2</v>
      </c>
      <c r="P55" s="35"/>
      <c r="Q55" s="149">
        <v>33.549999999999997</v>
      </c>
      <c r="R55" s="143">
        <f t="shared" ref="R55" si="37">Q55/Q56-1</f>
        <v>-1.1908306043467709E-3</v>
      </c>
    </row>
    <row r="56" spans="3:18" x14ac:dyDescent="0.3">
      <c r="C56" s="147">
        <v>45903</v>
      </c>
      <c r="E56" s="154">
        <v>5638.94</v>
      </c>
      <c r="F56" s="112">
        <f t="shared" si="3"/>
        <v>-2.2747911684170452E-2</v>
      </c>
      <c r="G56" s="35"/>
      <c r="H56" s="149">
        <v>69.16</v>
      </c>
      <c r="I56" s="112">
        <f t="shared" si="3"/>
        <v>-3.1779364412711897E-2</v>
      </c>
      <c r="J56" s="35"/>
      <c r="K56" s="149">
        <v>148.59</v>
      </c>
      <c r="L56" s="143">
        <f t="shared" ref="L56" si="38">K56/K57-1</f>
        <v>-3.7878787878787845E-2</v>
      </c>
      <c r="M56" s="35"/>
      <c r="N56" s="149">
        <v>55.09</v>
      </c>
      <c r="O56" s="143">
        <f t="shared" si="2"/>
        <v>3.6317414200115472E-4</v>
      </c>
      <c r="P56" s="35"/>
      <c r="Q56" s="149">
        <v>33.590000000000003</v>
      </c>
      <c r="R56" s="143">
        <f t="shared" ref="R56" si="39">Q56/Q57-1</f>
        <v>7.4985002999399253E-3</v>
      </c>
    </row>
    <row r="57" spans="3:18" x14ac:dyDescent="0.3">
      <c r="C57" s="147">
        <v>45691</v>
      </c>
      <c r="E57" s="154">
        <v>5770.2</v>
      </c>
      <c r="F57" s="112">
        <f t="shared" si="3"/>
        <v>-3.0951381308254255E-2</v>
      </c>
      <c r="G57" s="35"/>
      <c r="H57" s="149">
        <v>71.430000000000007</v>
      </c>
      <c r="I57" s="112">
        <f t="shared" si="3"/>
        <v>3.0894537284091861E-3</v>
      </c>
      <c r="J57" s="35"/>
      <c r="K57" s="149">
        <v>154.44</v>
      </c>
      <c r="L57" s="143">
        <f t="shared" ref="L57" si="40">K57/K58-1</f>
        <v>6.3204535088290381E-3</v>
      </c>
      <c r="M57" s="35"/>
      <c r="N57" s="149">
        <v>55.07</v>
      </c>
      <c r="O57" s="143">
        <f t="shared" si="2"/>
        <v>7.6852698993596924E-3</v>
      </c>
      <c r="P57" s="35"/>
      <c r="Q57" s="149">
        <v>33.340000000000003</v>
      </c>
      <c r="R57" s="143">
        <f t="shared" ref="R57" si="41">Q57/Q58-1</f>
        <v>-5.3699284009546266E-3</v>
      </c>
    </row>
    <row r="58" spans="3:18" x14ac:dyDescent="0.3">
      <c r="C58" s="157" t="s">
        <v>188</v>
      </c>
      <c r="E58" s="154">
        <v>5954.5</v>
      </c>
      <c r="F58" s="112">
        <f t="shared" si="3"/>
        <v>-9.7503296951837459E-3</v>
      </c>
      <c r="G58" s="35"/>
      <c r="H58" s="149">
        <v>71.209999999999994</v>
      </c>
      <c r="I58" s="112">
        <f t="shared" si="3"/>
        <v>-1.9621583742116533E-3</v>
      </c>
      <c r="J58" s="35"/>
      <c r="K58" s="149">
        <v>153.47</v>
      </c>
      <c r="L58" s="143">
        <f t="shared" ref="L58" si="42">K58/K59-1</f>
        <v>-1.954397394137164E-4</v>
      </c>
      <c r="M58" s="35"/>
      <c r="N58" s="149">
        <v>54.65</v>
      </c>
      <c r="O58" s="143">
        <f t="shared" si="2"/>
        <v>3.1132075471698162E-2</v>
      </c>
      <c r="P58" s="35"/>
      <c r="Q58" s="149">
        <v>33.520000000000003</v>
      </c>
      <c r="R58" s="143">
        <f t="shared" ref="R58" si="43">Q58/Q59-1</f>
        <v>-1.5276145710928168E-2</v>
      </c>
    </row>
    <row r="59" spans="3:18" x14ac:dyDescent="0.3">
      <c r="C59" s="157" t="s">
        <v>189</v>
      </c>
      <c r="E59" s="154">
        <v>6013.13</v>
      </c>
      <c r="F59" s="112">
        <f t="shared" si="3"/>
        <v>-1.6599532596412225E-2</v>
      </c>
      <c r="G59" s="35"/>
      <c r="H59" s="149">
        <v>71.349999999999994</v>
      </c>
      <c r="I59" s="112">
        <f t="shared" si="3"/>
        <v>3.6009873675039827E-2</v>
      </c>
      <c r="J59" s="35"/>
      <c r="K59" s="149">
        <v>153.5</v>
      </c>
      <c r="L59" s="143">
        <f t="shared" ref="L59" si="44">K59/K60-1</f>
        <v>7.0507008856963704E-2</v>
      </c>
      <c r="M59" s="35"/>
      <c r="N59" s="149">
        <v>53</v>
      </c>
      <c r="O59" s="143">
        <f t="shared" si="2"/>
        <v>7.6142131979695327E-2</v>
      </c>
      <c r="P59" s="35"/>
      <c r="Q59" s="149">
        <v>34.04</v>
      </c>
      <c r="R59" s="143">
        <f t="shared" ref="R59" si="45">Q59/Q60-1</f>
        <v>7.551342812006312E-2</v>
      </c>
    </row>
    <row r="60" spans="3:18" x14ac:dyDescent="0.3">
      <c r="C60" s="147">
        <v>45902</v>
      </c>
      <c r="E60" s="154">
        <v>6114.63</v>
      </c>
      <c r="F60" s="112">
        <f t="shared" si="3"/>
        <v>1.4709616179250373E-2</v>
      </c>
      <c r="G60" s="35"/>
      <c r="H60" s="149">
        <v>68.87</v>
      </c>
      <c r="I60" s="112">
        <f t="shared" si="3"/>
        <v>7.8790726817042689E-2</v>
      </c>
      <c r="J60" s="35"/>
      <c r="K60" s="149">
        <v>143.38999999999999</v>
      </c>
      <c r="L60" s="143">
        <f t="shared" ref="L60" si="46">K60/K61-1</f>
        <v>-8.2307373080648949E-3</v>
      </c>
      <c r="M60" s="35"/>
      <c r="N60" s="149">
        <v>49.25</v>
      </c>
      <c r="O60" s="143">
        <f t="shared" si="2"/>
        <v>5.7547777539188383E-2</v>
      </c>
      <c r="P60" s="35"/>
      <c r="Q60" s="149">
        <v>31.65</v>
      </c>
      <c r="R60" s="143">
        <f t="shared" ref="R60" si="47">Q60/Q61-1</f>
        <v>1.9652061855670144E-2</v>
      </c>
    </row>
    <row r="61" spans="3:18" x14ac:dyDescent="0.3">
      <c r="C61" s="147">
        <v>45690</v>
      </c>
      <c r="E61" s="154">
        <v>6025.99</v>
      </c>
      <c r="F61" s="112">
        <f t="shared" si="3"/>
        <v>-2.4070735514929442E-3</v>
      </c>
      <c r="G61" s="35"/>
      <c r="H61" s="149">
        <v>63.84</v>
      </c>
      <c r="I61" s="112">
        <f t="shared" si="3"/>
        <v>5.6710775047259521E-3</v>
      </c>
      <c r="J61" s="35"/>
      <c r="K61" s="149">
        <v>144.58000000000001</v>
      </c>
      <c r="L61" s="143">
        <f t="shared" ref="L61" si="48">K61/K62-1</f>
        <v>-4.054681797066817E-2</v>
      </c>
      <c r="M61" s="35"/>
      <c r="N61" s="149">
        <v>46.57</v>
      </c>
      <c r="O61" s="143">
        <f t="shared" si="2"/>
        <v>-4.3933483884212698E-2</v>
      </c>
      <c r="P61" s="35"/>
      <c r="Q61" s="149">
        <v>31.04</v>
      </c>
      <c r="R61" s="143">
        <f t="shared" ref="R61" si="49">Q61/Q62-1</f>
        <v>-3.302180685358258E-2</v>
      </c>
    </row>
    <row r="62" spans="3:18" x14ac:dyDescent="0.3">
      <c r="C62" s="157" t="s">
        <v>190</v>
      </c>
      <c r="E62" s="154">
        <v>6040.53</v>
      </c>
      <c r="F62" s="112">
        <f t="shared" si="3"/>
        <v>-9.9504363047511202E-3</v>
      </c>
      <c r="G62" s="35"/>
      <c r="H62" s="149">
        <v>63.48</v>
      </c>
      <c r="I62" s="112">
        <f t="shared" si="3"/>
        <v>2.5193798449612226E-2</v>
      </c>
      <c r="J62" s="35"/>
      <c r="K62" s="149">
        <v>150.69</v>
      </c>
      <c r="L62" s="143">
        <f t="shared" ref="L62" si="50">K62/K63-1</f>
        <v>1.0528433476394872E-2</v>
      </c>
      <c r="M62" s="35"/>
      <c r="N62" s="149">
        <v>48.71</v>
      </c>
      <c r="O62" s="143">
        <f t="shared" si="2"/>
        <v>8.9063794531896168E-3</v>
      </c>
      <c r="P62" s="35"/>
      <c r="Q62" s="149">
        <v>32.1</v>
      </c>
      <c r="R62" s="143">
        <f t="shared" ref="R62" si="51">Q62/Q63-1</f>
        <v>3.0497592295345211E-2</v>
      </c>
    </row>
    <row r="63" spans="3:18" x14ac:dyDescent="0.3">
      <c r="C63" s="157" t="s">
        <v>191</v>
      </c>
      <c r="E63" s="154">
        <v>6101.24</v>
      </c>
      <c r="F63" s="112">
        <f t="shared" si="3"/>
        <v>1.7439708104177942E-2</v>
      </c>
      <c r="G63" s="35"/>
      <c r="H63" s="149">
        <v>61.92</v>
      </c>
      <c r="I63" s="112">
        <f t="shared" si="3"/>
        <v>-1.2597671822675793E-2</v>
      </c>
      <c r="J63" s="35"/>
      <c r="K63" s="149">
        <v>149.12</v>
      </c>
      <c r="L63" s="143">
        <f t="shared" ref="L63" si="52">K63/K64-1</f>
        <v>5.8684654300169559E-3</v>
      </c>
      <c r="M63" s="35"/>
      <c r="N63" s="149">
        <v>48.28</v>
      </c>
      <c r="O63" s="143">
        <f t="shared" si="2"/>
        <v>-2.3067583974099581E-2</v>
      </c>
      <c r="P63" s="35"/>
      <c r="Q63" s="149">
        <v>31.15</v>
      </c>
      <c r="R63" s="143">
        <f t="shared" ref="R63" si="53">Q63/Q64-1</f>
        <v>-1.4864010120177129E-2</v>
      </c>
    </row>
    <row r="64" spans="3:18" x14ac:dyDescent="0.3">
      <c r="C64" s="147">
        <v>45992</v>
      </c>
      <c r="E64" s="154">
        <v>5996.66</v>
      </c>
      <c r="F64" s="112">
        <f t="shared" si="3"/>
        <v>2.9109118866525785E-2</v>
      </c>
      <c r="G64" s="35"/>
      <c r="H64" s="149">
        <v>62.71</v>
      </c>
      <c r="I64" s="112">
        <f t="shared" si="3"/>
        <v>2.6854429343376562E-2</v>
      </c>
      <c r="J64" s="35"/>
      <c r="K64" s="149">
        <v>148.25</v>
      </c>
      <c r="L64" s="143">
        <f t="shared" ref="L64" si="54">K64/K65-1</f>
        <v>3.9329781267526842E-2</v>
      </c>
      <c r="M64" s="35"/>
      <c r="N64" s="149">
        <v>49.42</v>
      </c>
      <c r="O64" s="143">
        <f t="shared" si="2"/>
        <v>-6.4334539605951369E-3</v>
      </c>
      <c r="P64" s="35"/>
      <c r="Q64" s="149">
        <v>31.62</v>
      </c>
      <c r="R64" s="143">
        <f t="shared" ref="R64" si="55">Q64/Q65-1</f>
        <v>4.081632653061229E-2</v>
      </c>
    </row>
    <row r="65" spans="3:18" x14ac:dyDescent="0.3">
      <c r="C65" s="147">
        <v>45778</v>
      </c>
      <c r="E65" s="154">
        <v>5827.04</v>
      </c>
      <c r="F65" s="112">
        <f t="shared" si="3"/>
        <v>-1.9424582707190829E-2</v>
      </c>
      <c r="G65" s="35"/>
      <c r="H65" s="149">
        <v>61.07</v>
      </c>
      <c r="I65" s="112">
        <f t="shared" si="3"/>
        <v>-1.10121457489879E-2</v>
      </c>
      <c r="J65" s="35"/>
      <c r="K65" s="149">
        <v>142.63999999999999</v>
      </c>
      <c r="L65" s="143">
        <f t="shared" ref="L65" si="56">K65/K66-1</f>
        <v>-4.6842632809889873E-2</v>
      </c>
      <c r="M65" s="35"/>
      <c r="N65" s="149">
        <v>49.74</v>
      </c>
      <c r="O65" s="143">
        <f t="shared" si="2"/>
        <v>-5.0582172170261508E-2</v>
      </c>
      <c r="P65" s="35"/>
      <c r="Q65" s="149">
        <v>30.38</v>
      </c>
      <c r="R65" s="143">
        <f t="shared" ref="R65" si="57">Q65/Q66-1</f>
        <v>-3.6778693722257505E-2</v>
      </c>
    </row>
    <row r="66" spans="3:18" x14ac:dyDescent="0.3">
      <c r="C66" s="157" t="s">
        <v>192</v>
      </c>
      <c r="E66" s="154">
        <v>5942.47</v>
      </c>
      <c r="F66" s="112">
        <f t="shared" si="3"/>
        <v>-4.7514252600974194E-3</v>
      </c>
      <c r="G66" s="35"/>
      <c r="H66" s="149">
        <v>61.75</v>
      </c>
      <c r="I66" s="112">
        <f t="shared" si="3"/>
        <v>-1.1208967173738982E-2</v>
      </c>
      <c r="J66" s="35"/>
      <c r="K66" s="149">
        <v>149.65</v>
      </c>
      <c r="L66" s="143">
        <f t="shared" ref="L66" si="58">K66/K67-1</f>
        <v>-2.1191706455621517E-2</v>
      </c>
      <c r="M66" s="35"/>
      <c r="N66" s="149">
        <v>52.39</v>
      </c>
      <c r="O66" s="143">
        <f t="shared" si="2"/>
        <v>-3.0447193149381047E-3</v>
      </c>
      <c r="P66" s="35"/>
      <c r="Q66" s="149">
        <v>31.54</v>
      </c>
      <c r="R66" s="143">
        <f t="shared" ref="R66" si="59">Q66/Q67-1</f>
        <v>-2.2621629996901316E-2</v>
      </c>
    </row>
    <row r="67" spans="3:18" x14ac:dyDescent="0.3">
      <c r="C67" s="157" t="s">
        <v>193</v>
      </c>
      <c r="E67" s="154">
        <v>5970.84</v>
      </c>
      <c r="F67" s="112">
        <f t="shared" si="3"/>
        <v>6.7427097296339777E-3</v>
      </c>
      <c r="G67" s="35"/>
      <c r="H67" s="149">
        <v>62.45</v>
      </c>
      <c r="I67" s="112">
        <f t="shared" si="3"/>
        <v>-1.5987210231813709E-3</v>
      </c>
      <c r="J67" s="35"/>
      <c r="K67" s="149">
        <v>152.88999999999999</v>
      </c>
      <c r="L67" s="143">
        <f t="shared" ref="L67" si="60">K67/K68-1</f>
        <v>6.5449309509779674E-4</v>
      </c>
      <c r="M67" s="35"/>
      <c r="N67" s="149">
        <v>52.55</v>
      </c>
      <c r="O67" s="143">
        <f t="shared" si="2"/>
        <v>1.6047950502706909E-2</v>
      </c>
      <c r="P67" s="35"/>
      <c r="Q67" s="149">
        <v>32.270000000000003</v>
      </c>
      <c r="R67" s="143">
        <f t="shared" ref="R67" si="61">Q67/Q68-1</f>
        <v>-3.0892801977137063E-3</v>
      </c>
    </row>
    <row r="68" spans="3:18" x14ac:dyDescent="0.3">
      <c r="C68" s="157" t="s">
        <v>194</v>
      </c>
      <c r="E68" s="154">
        <v>5930.85</v>
      </c>
      <c r="F68" s="112">
        <f t="shared" si="3"/>
        <v>-1.9870800136834843E-2</v>
      </c>
      <c r="G68" s="35"/>
      <c r="H68" s="149">
        <v>62.55</v>
      </c>
      <c r="I68" s="112">
        <f t="shared" si="3"/>
        <v>-9.0304182509505226E-3</v>
      </c>
      <c r="J68" s="35"/>
      <c r="K68" s="149">
        <v>152.79</v>
      </c>
      <c r="L68" s="143">
        <f t="shared" ref="L68" si="62">K68/K69-1</f>
        <v>-3.2791036272710072E-2</v>
      </c>
      <c r="M68" s="35"/>
      <c r="N68" s="149">
        <v>51.72</v>
      </c>
      <c r="O68" s="143">
        <f t="shared" si="2"/>
        <v>-1.9711902956785377E-2</v>
      </c>
      <c r="P68" s="35"/>
      <c r="Q68" s="149">
        <v>32.369999999999997</v>
      </c>
      <c r="R68" s="143">
        <f t="shared" ref="R68" si="63">Q68/Q69-1</f>
        <v>-3.5171385991058068E-2</v>
      </c>
    </row>
    <row r="69" spans="3:18" x14ac:dyDescent="0.3">
      <c r="C69" s="147">
        <v>45516</v>
      </c>
      <c r="E69" s="154">
        <v>6051.09</v>
      </c>
      <c r="F69" s="112">
        <f t="shared" si="3"/>
        <v>-6.4332123206360947E-3</v>
      </c>
      <c r="G69" s="35"/>
      <c r="H69" s="149">
        <v>63.12</v>
      </c>
      <c r="I69" s="112">
        <f t="shared" si="3"/>
        <v>9.4354709739323805E-3</v>
      </c>
      <c r="J69" s="35"/>
      <c r="K69" s="149">
        <v>157.97</v>
      </c>
      <c r="L69" s="143">
        <f t="shared" ref="L69" si="64">K69/K70-1</f>
        <v>1.1407567019456888E-3</v>
      </c>
      <c r="M69" s="35"/>
      <c r="N69" s="149">
        <v>52.76</v>
      </c>
      <c r="O69" s="143">
        <f t="shared" si="2"/>
        <v>9.3744021427204505E-3</v>
      </c>
      <c r="P69" s="35"/>
      <c r="Q69" s="149">
        <v>33.549999999999997</v>
      </c>
      <c r="R69" s="143">
        <f t="shared" ref="R69" si="65">Q69/Q70-1</f>
        <v>2.5366748166259168E-2</v>
      </c>
    </row>
    <row r="70" spans="3:18" x14ac:dyDescent="0.3">
      <c r="C70" s="147">
        <v>45303</v>
      </c>
      <c r="E70" s="154">
        <v>6090.27</v>
      </c>
      <c r="F70" s="112">
        <f t="shared" si="3"/>
        <v>9.5965439842982114E-3</v>
      </c>
      <c r="G70" s="35"/>
      <c r="H70" s="149">
        <v>62.53</v>
      </c>
      <c r="I70" s="112">
        <f t="shared" si="3"/>
        <v>-2.4188514357053603E-2</v>
      </c>
      <c r="J70" s="35"/>
      <c r="K70" s="149">
        <v>157.79</v>
      </c>
      <c r="L70" s="143">
        <f t="shared" ref="L70" si="66">K70/K71-1</f>
        <v>-3.4628326705414492E-2</v>
      </c>
      <c r="M70" s="35"/>
      <c r="N70" s="149">
        <v>52.27</v>
      </c>
      <c r="O70" s="143">
        <f t="shared" si="2"/>
        <v>-5.1877380736441103E-2</v>
      </c>
      <c r="P70" s="35"/>
      <c r="Q70" s="149">
        <v>32.72</v>
      </c>
      <c r="R70" s="143">
        <f t="shared" ref="R70" si="67">Q70/Q71-1</f>
        <v>2.1439509954057634E-3</v>
      </c>
    </row>
    <row r="71" spans="3:18" x14ac:dyDescent="0.3">
      <c r="C71" s="157" t="s">
        <v>195</v>
      </c>
      <c r="E71" s="154">
        <v>6032.38</v>
      </c>
      <c r="F71" s="112">
        <f t="shared" si="3"/>
        <v>1.0560631493598871E-2</v>
      </c>
      <c r="G71" s="35"/>
      <c r="H71" s="149">
        <v>64.08</v>
      </c>
      <c r="I71" s="112">
        <f t="shared" si="3"/>
        <v>2.5031289111387967E-3</v>
      </c>
      <c r="J71" s="35"/>
      <c r="K71" s="149">
        <v>163.44999999999999</v>
      </c>
      <c r="L71" s="143">
        <f t="shared" ref="L71" si="68">K71/K72-1</f>
        <v>8.9506172839506348E-3</v>
      </c>
      <c r="M71" s="35"/>
      <c r="N71" s="149">
        <v>55.13</v>
      </c>
      <c r="O71" s="143">
        <f t="shared" si="2"/>
        <v>1.9792822789493236E-2</v>
      </c>
      <c r="P71" s="35"/>
      <c r="Q71" s="149">
        <v>32.65</v>
      </c>
      <c r="R71" s="143">
        <f t="shared" ref="R71" si="69">Q71/Q72-1</f>
        <v>-3.0618493570111482E-4</v>
      </c>
    </row>
    <row r="72" spans="3:18" x14ac:dyDescent="0.3">
      <c r="C72" s="157" t="s">
        <v>196</v>
      </c>
      <c r="E72" s="154">
        <v>5969.34</v>
      </c>
      <c r="F72" s="112">
        <f t="shared" si="3"/>
        <v>1.6815941076070429E-2</v>
      </c>
      <c r="G72" s="35"/>
      <c r="H72" s="149">
        <v>63.92</v>
      </c>
      <c r="I72" s="112">
        <f t="shared" si="3"/>
        <v>3.5309361839974018E-2</v>
      </c>
      <c r="J72" s="35"/>
      <c r="K72" s="149">
        <v>162</v>
      </c>
      <c r="L72" s="143">
        <f t="shared" ref="L72" si="70">K72/K73-1</f>
        <v>2.1308788299079451E-2</v>
      </c>
      <c r="M72" s="35"/>
      <c r="N72" s="149">
        <v>54.06</v>
      </c>
      <c r="O72" s="143">
        <f t="shared" si="2"/>
        <v>3.9615384615384608E-2</v>
      </c>
      <c r="P72" s="35"/>
      <c r="Q72" s="149">
        <v>32.659999999999997</v>
      </c>
      <c r="R72" s="143">
        <f t="shared" ref="R72" si="71">Q72/Q73-1</f>
        <v>3.1585596967782514E-2</v>
      </c>
    </row>
    <row r="73" spans="3:18" x14ac:dyDescent="0.3">
      <c r="C73" s="147">
        <v>45576</v>
      </c>
      <c r="E73" s="154">
        <v>5870.62</v>
      </c>
      <c r="F73" s="112">
        <f t="shared" si="3"/>
        <v>-2.0835487712532963E-2</v>
      </c>
      <c r="G73" s="35"/>
      <c r="H73" s="149">
        <v>61.74</v>
      </c>
      <c r="I73" s="112">
        <f t="shared" si="3"/>
        <v>-3.4105131414267853E-2</v>
      </c>
      <c r="J73" s="35"/>
      <c r="K73" s="149">
        <v>158.62</v>
      </c>
      <c r="L73" s="143">
        <f t="shared" ref="L73" si="72">K73/K74-1</f>
        <v>-3.9307128580946094E-2</v>
      </c>
      <c r="M73" s="35"/>
      <c r="N73" s="149">
        <v>52</v>
      </c>
      <c r="O73" s="143">
        <f t="shared" si="2"/>
        <v>-3.9527151828592566E-2</v>
      </c>
      <c r="P73" s="35"/>
      <c r="Q73" s="149">
        <v>31.66</v>
      </c>
      <c r="R73" s="143">
        <f t="shared" ref="R73" si="73">Q73/Q74-1</f>
        <v>-3.7104622871046322E-2</v>
      </c>
    </row>
    <row r="74" spans="3:18" x14ac:dyDescent="0.3">
      <c r="C74" s="147">
        <v>45362</v>
      </c>
      <c r="E74" s="154">
        <v>5995.54</v>
      </c>
      <c r="F74" s="112">
        <f t="shared" si="3"/>
        <v>4.6561234464460144E-2</v>
      </c>
      <c r="G74" s="35"/>
      <c r="H74" s="149">
        <v>63.92</v>
      </c>
      <c r="I74" s="112">
        <f t="shared" si="3"/>
        <v>-1.6766651284417788E-2</v>
      </c>
      <c r="J74" s="35"/>
      <c r="K74" s="149">
        <v>165.11</v>
      </c>
      <c r="L74" s="143">
        <f t="shared" ref="L74" si="74">K74/K75-1</f>
        <v>-2.8987257684641721E-3</v>
      </c>
      <c r="M74" s="35"/>
      <c r="N74" s="149">
        <v>54.14</v>
      </c>
      <c r="O74" s="143">
        <f t="shared" si="2"/>
        <v>3.5181644359464803E-2</v>
      </c>
      <c r="P74" s="35"/>
      <c r="Q74" s="149">
        <v>32.880000000000003</v>
      </c>
      <c r="R74" s="143">
        <f t="shared" ref="R74" si="75">Q74/Q75-1</f>
        <v>1.8281535648996261E-3</v>
      </c>
    </row>
    <row r="75" spans="3:18" x14ac:dyDescent="0.3">
      <c r="C75" s="157" t="s">
        <v>197</v>
      </c>
      <c r="E75" s="154">
        <v>5728.8</v>
      </c>
      <c r="F75" s="112">
        <f t="shared" si="3"/>
        <v>-1.3656742629284513E-2</v>
      </c>
      <c r="G75" s="35"/>
      <c r="H75" s="149">
        <v>65.010000000000005</v>
      </c>
      <c r="I75" s="112">
        <f t="shared" si="3"/>
        <v>-2.8541542139868481E-2</v>
      </c>
      <c r="J75" s="35"/>
      <c r="K75" s="149">
        <v>165.59</v>
      </c>
      <c r="L75" s="143">
        <f t="shared" ref="L75" si="76">K75/K76-1</f>
        <v>-3.609057570289298E-2</v>
      </c>
      <c r="M75" s="35"/>
      <c r="N75" s="149">
        <v>52.3</v>
      </c>
      <c r="O75" s="143">
        <f t="shared" si="2"/>
        <v>-2.0048716507401143E-2</v>
      </c>
      <c r="P75" s="35"/>
      <c r="Q75" s="149">
        <v>32.82</v>
      </c>
      <c r="R75" s="143">
        <f t="shared" ref="R75" si="77">Q75/Q76-1</f>
        <v>-5.0896471949103517E-2</v>
      </c>
    </row>
    <row r="76" spans="3:18" x14ac:dyDescent="0.3">
      <c r="C76" s="157" t="s">
        <v>198</v>
      </c>
      <c r="E76" s="154">
        <v>5808.12</v>
      </c>
      <c r="F76" s="112">
        <f t="shared" si="3"/>
        <v>-9.6424862780003506E-3</v>
      </c>
      <c r="G76" s="35"/>
      <c r="H76" s="149">
        <v>66.92</v>
      </c>
      <c r="I76" s="112">
        <f t="shared" si="3"/>
        <v>-4.9971607041453647E-2</v>
      </c>
      <c r="J76" s="35"/>
      <c r="K76" s="149">
        <v>171.79</v>
      </c>
      <c r="L76" s="143">
        <f t="shared" ref="L76" si="78">K76/K77-1</f>
        <v>-1.8679309950874079E-2</v>
      </c>
      <c r="M76" s="35"/>
      <c r="N76" s="149">
        <v>53.37</v>
      </c>
      <c r="O76" s="143">
        <f t="shared" si="2"/>
        <v>-1.2580943570767777E-2</v>
      </c>
      <c r="P76" s="35"/>
      <c r="Q76" s="149">
        <v>34.58</v>
      </c>
      <c r="R76" s="143">
        <f t="shared" ref="R76" si="79">Q76/Q77-1</f>
        <v>-6.3887384948565273E-2</v>
      </c>
    </row>
    <row r="77" spans="3:18" x14ac:dyDescent="0.3">
      <c r="C77" s="157" t="s">
        <v>199</v>
      </c>
      <c r="E77" s="154">
        <v>5864.67</v>
      </c>
      <c r="F77" s="112">
        <f t="shared" si="3"/>
        <v>8.5364993817744761E-3</v>
      </c>
      <c r="G77" s="35"/>
      <c r="H77" s="149">
        <v>70.44</v>
      </c>
      <c r="I77" s="112">
        <f t="shared" si="3"/>
        <v>1.2505390254420101E-2</v>
      </c>
      <c r="J77" s="35"/>
      <c r="K77" s="149">
        <v>175.06</v>
      </c>
      <c r="L77" s="143">
        <f t="shared" ref="L77" si="80">K77/K78-1</f>
        <v>1.430124134774946E-3</v>
      </c>
      <c r="M77" s="35"/>
      <c r="N77" s="149">
        <v>54.05</v>
      </c>
      <c r="O77" s="143">
        <f t="shared" si="2"/>
        <v>5.340089651140123E-2</v>
      </c>
      <c r="P77" s="35"/>
      <c r="Q77" s="149">
        <v>36.94</v>
      </c>
      <c r="R77" s="143">
        <f t="shared" ref="R77" si="81">Q77/Q78-1</f>
        <v>1.5393073117097256E-2</v>
      </c>
    </row>
    <row r="78" spans="3:18" x14ac:dyDescent="0.3">
      <c r="C78" s="147">
        <v>45453</v>
      </c>
      <c r="E78" s="154">
        <v>5815.03</v>
      </c>
      <c r="F78" s="112">
        <f t="shared" si="3"/>
        <v>1.1121408711770142E-2</v>
      </c>
      <c r="G78" s="35"/>
      <c r="H78" s="149">
        <v>69.569999999999993</v>
      </c>
      <c r="I78" s="112">
        <f t="shared" si="3"/>
        <v>-8.5506626763575122E-3</v>
      </c>
      <c r="J78" s="35"/>
      <c r="K78" s="149">
        <v>174.81</v>
      </c>
      <c r="L78" s="143">
        <f t="shared" ref="L78" si="82">K78/K79-1</f>
        <v>4.0721557420968058E-2</v>
      </c>
      <c r="M78" s="35"/>
      <c r="N78" s="149">
        <v>51.31</v>
      </c>
      <c r="O78" s="143">
        <f t="shared" si="2"/>
        <v>7.0657507360156746E-3</v>
      </c>
      <c r="P78" s="35"/>
      <c r="Q78" s="149">
        <v>36.380000000000003</v>
      </c>
      <c r="R78" s="143">
        <f t="shared" ref="R78" si="83">Q78/Q79-1</f>
        <v>-2.7480076944208509E-4</v>
      </c>
    </row>
    <row r="79" spans="3:18" x14ac:dyDescent="0.3">
      <c r="C79" s="157" t="s">
        <v>200</v>
      </c>
      <c r="E79" s="154">
        <v>5751.07</v>
      </c>
      <c r="F79" s="112">
        <f t="shared" si="3"/>
        <v>2.2481034894399343E-3</v>
      </c>
      <c r="G79" s="35"/>
      <c r="H79" s="149">
        <v>70.17</v>
      </c>
      <c r="I79" s="112">
        <f t="shared" si="3"/>
        <v>-2.2565816966151342E-2</v>
      </c>
      <c r="J79" s="35"/>
      <c r="K79" s="149">
        <v>167.97</v>
      </c>
      <c r="L79" s="143">
        <f t="shared" ref="L79" si="84">K79/K80-1</f>
        <v>-1.1941176470588233E-2</v>
      </c>
      <c r="M79" s="35"/>
      <c r="N79" s="149">
        <v>50.95</v>
      </c>
      <c r="O79" s="143">
        <f t="shared" si="2"/>
        <v>-2.8783835303088035E-2</v>
      </c>
      <c r="P79" s="35"/>
      <c r="Q79" s="149">
        <v>36.39</v>
      </c>
      <c r="R79" s="143">
        <f t="shared" ref="R79" si="85">Q79/Q80-1</f>
        <v>-2.752538749331912E-2</v>
      </c>
    </row>
    <row r="80" spans="3:18" x14ac:dyDescent="0.3">
      <c r="C80" s="157" t="s">
        <v>201</v>
      </c>
      <c r="E80" s="154">
        <v>5738.17</v>
      </c>
      <c r="F80" s="112">
        <f t="shared" si="3"/>
        <v>6.2463283969451666E-3</v>
      </c>
      <c r="G80" s="35"/>
      <c r="H80" s="149">
        <v>71.790000000000006</v>
      </c>
      <c r="I80" s="112">
        <f t="shared" si="3"/>
        <v>2.0938023450587373E-3</v>
      </c>
      <c r="J80" s="35"/>
      <c r="K80" s="149">
        <v>170</v>
      </c>
      <c r="L80" s="143">
        <f t="shared" ref="L80" si="86">K80/K81-1</f>
        <v>-6.8933286598902299E-3</v>
      </c>
      <c r="M80" s="35"/>
      <c r="N80" s="149">
        <v>52.46</v>
      </c>
      <c r="O80" s="143">
        <f t="shared" si="2"/>
        <v>2.5009769441187935E-2</v>
      </c>
      <c r="P80" s="35"/>
      <c r="Q80" s="149">
        <v>37.42</v>
      </c>
      <c r="R80" s="143">
        <f t="shared" ref="R80" si="87">Q80/Q81-1</f>
        <v>-1.0678056593699248E-3</v>
      </c>
    </row>
    <row r="81" spans="3:18" x14ac:dyDescent="0.3">
      <c r="C81" s="157" t="s">
        <v>202</v>
      </c>
      <c r="E81" s="154">
        <v>5702.55</v>
      </c>
      <c r="F81" s="112">
        <f t="shared" si="3"/>
        <v>1.3602866680175296E-2</v>
      </c>
      <c r="G81" s="35"/>
      <c r="H81" s="149">
        <v>71.64</v>
      </c>
      <c r="I81" s="112">
        <f t="shared" si="3"/>
        <v>3.2208374177287169E-3</v>
      </c>
      <c r="J81" s="35"/>
      <c r="K81" s="149">
        <v>171.18</v>
      </c>
      <c r="L81" s="143">
        <f t="shared" ref="L81" si="88">K81/K82-1</f>
        <v>-3.4844384303112319E-2</v>
      </c>
      <c r="M81" s="35"/>
      <c r="N81" s="149">
        <v>51.18</v>
      </c>
      <c r="O81" s="143">
        <f t="shared" si="2"/>
        <v>6.885697422781778E-3</v>
      </c>
      <c r="P81" s="35"/>
      <c r="Q81" s="149">
        <v>37.46</v>
      </c>
      <c r="R81" s="143">
        <f t="shared" ref="R81" si="89">Q81/Q82-1</f>
        <v>-3.9883009837808903E-3</v>
      </c>
    </row>
    <row r="82" spans="3:18" x14ac:dyDescent="0.3">
      <c r="C82" s="147">
        <v>45513</v>
      </c>
      <c r="E82" s="154">
        <v>5626.02</v>
      </c>
      <c r="F82" s="112">
        <f t="shared" si="3"/>
        <v>4.0233561742616164E-2</v>
      </c>
      <c r="G82" s="35"/>
      <c r="H82" s="149">
        <v>71.41</v>
      </c>
      <c r="I82" s="112">
        <f t="shared" si="3"/>
        <v>3.7953331459095185E-3</v>
      </c>
      <c r="J82" s="35"/>
      <c r="K82" s="149">
        <v>177.36</v>
      </c>
      <c r="L82" s="143">
        <f t="shared" ref="L82" si="90">K82/K83-1</f>
        <v>1.127777151235243E-4</v>
      </c>
      <c r="M82" s="35"/>
      <c r="N82" s="149">
        <v>50.83</v>
      </c>
      <c r="O82" s="143">
        <f t="shared" si="2"/>
        <v>4.4809866392600206E-2</v>
      </c>
      <c r="P82" s="35"/>
      <c r="Q82" s="149">
        <v>37.61</v>
      </c>
      <c r="R82" s="143">
        <f t="shared" ref="R82" si="91">Q82/Q83-1</f>
        <v>2.0347259902333104E-2</v>
      </c>
    </row>
    <row r="83" spans="3:18" x14ac:dyDescent="0.3">
      <c r="C83" s="147">
        <v>45300</v>
      </c>
      <c r="E83" s="154">
        <v>5408.42</v>
      </c>
      <c r="F83" s="112">
        <f t="shared" si="3"/>
        <v>-4.2486367820975812E-2</v>
      </c>
      <c r="G83" s="35"/>
      <c r="H83" s="149">
        <v>71.14</v>
      </c>
      <c r="I83" s="112">
        <f t="shared" si="3"/>
        <v>-1.8352421691734455E-2</v>
      </c>
      <c r="J83" s="35"/>
      <c r="K83" s="149">
        <v>177.34</v>
      </c>
      <c r="L83" s="143">
        <f t="shared" ref="L83" si="92">K83/K84-1</f>
        <v>2.5798241554835677E-2</v>
      </c>
      <c r="M83" s="35"/>
      <c r="N83" s="149">
        <v>48.65</v>
      </c>
      <c r="O83" s="143">
        <f t="shared" si="2"/>
        <v>3.225122002970493E-2</v>
      </c>
      <c r="P83" s="35"/>
      <c r="Q83" s="149">
        <v>36.86</v>
      </c>
      <c r="R83" s="143">
        <f t="shared" ref="R83" si="93">Q83/Q84-1</f>
        <v>6.8287353182190369E-3</v>
      </c>
    </row>
    <row r="84" spans="3:18" x14ac:dyDescent="0.3">
      <c r="C84" s="157" t="s">
        <v>203</v>
      </c>
      <c r="E84" s="154">
        <v>5648.4</v>
      </c>
      <c r="F84" s="112">
        <f t="shared" si="3"/>
        <v>2.4473743524395797E-3</v>
      </c>
      <c r="G84" s="35"/>
      <c r="H84" s="149">
        <v>72.47</v>
      </c>
      <c r="I84" s="112">
        <f t="shared" si="3"/>
        <v>3.8400917036824689E-2</v>
      </c>
      <c r="J84" s="35"/>
      <c r="K84" s="149">
        <v>172.88</v>
      </c>
      <c r="L84" s="143">
        <f t="shared" ref="L84" si="94">K84/K85-1</f>
        <v>-1.7001194063797187E-2</v>
      </c>
      <c r="M84" s="35"/>
      <c r="N84" s="149">
        <v>47.13</v>
      </c>
      <c r="O84" s="143">
        <f t="shared" si="2"/>
        <v>1.0289389067524191E-2</v>
      </c>
      <c r="P84" s="35"/>
      <c r="Q84" s="149">
        <v>36.61</v>
      </c>
      <c r="R84" s="143">
        <f t="shared" ref="R84" si="95">Q84/Q85-1</f>
        <v>2.462916316820607E-2</v>
      </c>
    </row>
    <row r="85" spans="3:18" x14ac:dyDescent="0.3">
      <c r="C85" s="157" t="s">
        <v>204</v>
      </c>
      <c r="E85" s="154">
        <v>5634.61</v>
      </c>
      <c r="F85" s="112">
        <f t="shared" si="3"/>
        <v>1.4468200027006217E-2</v>
      </c>
      <c r="G85" s="35"/>
      <c r="H85" s="149">
        <v>69.790000000000006</v>
      </c>
      <c r="I85" s="112">
        <f t="shared" si="3"/>
        <v>8.8175773344896236E-3</v>
      </c>
      <c r="J85" s="35"/>
      <c r="K85" s="149">
        <v>175.87</v>
      </c>
      <c r="L85" s="143">
        <f t="shared" ref="L85" si="96">K85/K86-1</f>
        <v>1.8827482331132073E-2</v>
      </c>
      <c r="M85" s="35"/>
      <c r="N85" s="149">
        <v>46.65</v>
      </c>
      <c r="O85" s="143">
        <f t="shared" si="2"/>
        <v>-1.9255455712452463E-3</v>
      </c>
      <c r="P85" s="35"/>
      <c r="Q85" s="149">
        <v>35.729999999999997</v>
      </c>
      <c r="R85" s="143">
        <f t="shared" ref="R85" si="97">Q85/Q86-1</f>
        <v>9.6072336818309179E-3</v>
      </c>
    </row>
    <row r="86" spans="3:18" x14ac:dyDescent="0.3">
      <c r="C86" s="147">
        <v>45604</v>
      </c>
      <c r="E86" s="154">
        <v>5554.25</v>
      </c>
      <c r="F86" s="112">
        <f t="shared" si="3"/>
        <v>3.9312071494865375E-2</v>
      </c>
      <c r="G86" s="35"/>
      <c r="H86" s="149">
        <v>69.180000000000007</v>
      </c>
      <c r="I86" s="112">
        <f t="shared" si="3"/>
        <v>7.2801397786836919E-3</v>
      </c>
      <c r="J86" s="35"/>
      <c r="K86" s="149">
        <v>172.62</v>
      </c>
      <c r="L86" s="143">
        <f t="shared" ref="L86" si="98">K86/K87-1</f>
        <v>1.3341841174083768E-3</v>
      </c>
      <c r="M86" s="35"/>
      <c r="N86" s="149">
        <v>46.74</v>
      </c>
      <c r="O86" s="143">
        <f t="shared" si="2"/>
        <v>1.4763352149370412E-2</v>
      </c>
      <c r="P86" s="35"/>
      <c r="Q86" s="149">
        <v>35.39</v>
      </c>
      <c r="R86" s="143">
        <f t="shared" ref="R86" si="99">Q86/Q87-1</f>
        <v>2.401620370370372E-2</v>
      </c>
    </row>
    <row r="87" spans="3:18" x14ac:dyDescent="0.3">
      <c r="C87" s="147">
        <v>45390</v>
      </c>
      <c r="E87" s="154">
        <v>5344.16</v>
      </c>
      <c r="F87" s="112">
        <f t="shared" si="3"/>
        <v>-4.4888676083321144E-4</v>
      </c>
      <c r="G87" s="35"/>
      <c r="H87" s="149">
        <v>68.680000000000007</v>
      </c>
      <c r="I87" s="112">
        <f t="shared" si="3"/>
        <v>-9.3754507428240874E-3</v>
      </c>
      <c r="J87" s="35"/>
      <c r="K87" s="149">
        <v>172.39</v>
      </c>
      <c r="L87" s="143">
        <f t="shared" ref="L87" si="100">K87/K88-1</f>
        <v>-3.1734441698494709E-2</v>
      </c>
      <c r="M87" s="35"/>
      <c r="N87" s="149">
        <v>46.06</v>
      </c>
      <c r="O87" s="143">
        <f t="shared" si="2"/>
        <v>-0.10753729897306719</v>
      </c>
      <c r="P87" s="35"/>
      <c r="Q87" s="149">
        <v>34.56</v>
      </c>
      <c r="R87" s="143">
        <f t="shared" ref="R87" si="101">Q87/Q88-1</f>
        <v>-1.4542343883661157E-2</v>
      </c>
    </row>
    <row r="88" spans="3:18" x14ac:dyDescent="0.3">
      <c r="C88" s="157" t="s">
        <v>205</v>
      </c>
      <c r="E88" s="154">
        <v>5346.56</v>
      </c>
      <c r="F88" s="112">
        <f t="shared" si="3"/>
        <v>-2.0615119708376817E-2</v>
      </c>
      <c r="G88" s="35"/>
      <c r="H88" s="149">
        <v>69.33</v>
      </c>
      <c r="I88" s="112">
        <f t="shared" si="3"/>
        <v>3.4004474272930629E-2</v>
      </c>
      <c r="J88" s="35"/>
      <c r="K88" s="149">
        <v>178.04</v>
      </c>
      <c r="L88" s="143">
        <f t="shared" ref="L88" si="102">K88/K89-1</f>
        <v>3.0622286541244437E-2</v>
      </c>
      <c r="M88" s="35"/>
      <c r="N88" s="149">
        <v>51.61</v>
      </c>
      <c r="O88" s="143">
        <f t="shared" si="2"/>
        <v>1.1960784313725492E-2</v>
      </c>
      <c r="P88" s="35"/>
      <c r="Q88" s="149">
        <v>35.07</v>
      </c>
      <c r="R88" s="143">
        <f t="shared" ref="R88" si="103">Q88/Q89-1</f>
        <v>3.9419087136929321E-2</v>
      </c>
    </row>
    <row r="89" spans="3:18" x14ac:dyDescent="0.3">
      <c r="C89" s="157" t="s">
        <v>206</v>
      </c>
      <c r="E89" s="154">
        <v>5459.1</v>
      </c>
      <c r="F89" s="112">
        <f t="shared" si="3"/>
        <v>-8.3378746594005015E-3</v>
      </c>
      <c r="G89" s="35"/>
      <c r="H89" s="149">
        <v>67.05</v>
      </c>
      <c r="I89" s="112">
        <f t="shared" si="3"/>
        <v>2.6956654924184198E-2</v>
      </c>
      <c r="J89" s="35"/>
      <c r="K89" s="149">
        <v>172.75</v>
      </c>
      <c r="L89" s="143">
        <f t="shared" ref="L89" si="104">K89/K90-1</f>
        <v>2.0016532829475686E-2</v>
      </c>
      <c r="M89" s="35"/>
      <c r="N89" s="149">
        <v>51</v>
      </c>
      <c r="O89" s="143">
        <f t="shared" si="2"/>
        <v>2.1615248575359569E-3</v>
      </c>
      <c r="P89" s="35"/>
      <c r="Q89" s="149">
        <v>33.74</v>
      </c>
      <c r="R89" s="143">
        <f t="shared" ref="R89" si="105">Q89/Q90-1</f>
        <v>2.304426925409353E-2</v>
      </c>
    </row>
    <row r="90" spans="3:18" x14ac:dyDescent="0.3">
      <c r="C90" s="157" t="s">
        <v>207</v>
      </c>
      <c r="E90" s="154">
        <v>5505</v>
      </c>
      <c r="F90" s="112">
        <f t="shared" si="3"/>
        <v>-1.965149100234187E-2</v>
      </c>
      <c r="G90" s="35"/>
      <c r="H90" s="149">
        <v>65.290000000000006</v>
      </c>
      <c r="I90" s="112">
        <f t="shared" si="3"/>
        <v>2.4960753532182078E-2</v>
      </c>
      <c r="J90" s="35"/>
      <c r="K90" s="149">
        <v>169.36</v>
      </c>
      <c r="L90" s="143">
        <f t="shared" ref="L90" si="106">K90/K91-1</f>
        <v>1.7910806587330352E-2</v>
      </c>
      <c r="M90" s="35"/>
      <c r="N90" s="149">
        <v>50.89</v>
      </c>
      <c r="O90" s="143">
        <f t="shared" si="2"/>
        <v>1.1804052724768699E-3</v>
      </c>
      <c r="P90" s="35"/>
      <c r="Q90" s="149">
        <v>32.979999999999997</v>
      </c>
      <c r="R90" s="143">
        <f t="shared" ref="R90" si="107">Q90/Q91-1</f>
        <v>1.1036174126302756E-2</v>
      </c>
    </row>
    <row r="91" spans="3:18" x14ac:dyDescent="0.3">
      <c r="C91" s="147">
        <v>45480</v>
      </c>
      <c r="E91" s="154">
        <v>5615.35</v>
      </c>
      <c r="F91" s="112">
        <f t="shared" si="3"/>
        <v>8.6506837381157276E-3</v>
      </c>
      <c r="G91" s="35"/>
      <c r="H91" s="149">
        <v>63.7</v>
      </c>
      <c r="I91" s="112">
        <f t="shared" si="3"/>
        <v>-9.4102885821822913E-4</v>
      </c>
      <c r="J91" s="35"/>
      <c r="K91" s="149">
        <v>166.38</v>
      </c>
      <c r="L91" s="143">
        <f t="shared" ref="L91" si="108">K91/K92-1</f>
        <v>1.2105359206764366E-2</v>
      </c>
      <c r="M91" s="35"/>
      <c r="N91" s="149">
        <v>50.83</v>
      </c>
      <c r="O91" s="143">
        <f t="shared" si="2"/>
        <v>2.1708542713567702E-2</v>
      </c>
      <c r="P91" s="35"/>
      <c r="Q91" s="149">
        <v>32.619999999999997</v>
      </c>
      <c r="R91" s="143">
        <f t="shared" ref="R91" si="109">Q91/Q92-1</f>
        <v>-1.2247397428046813E-3</v>
      </c>
    </row>
    <row r="92" spans="3:18" x14ac:dyDescent="0.3">
      <c r="C92" s="157" t="s">
        <v>208</v>
      </c>
      <c r="E92" s="154">
        <v>5567.19</v>
      </c>
      <c r="F92" s="112">
        <f t="shared" si="3"/>
        <v>1.9542238045006988E-2</v>
      </c>
      <c r="G92" s="35"/>
      <c r="H92" s="149">
        <v>63.76</v>
      </c>
      <c r="I92" s="112">
        <f t="shared" si="3"/>
        <v>1.7282010997643482E-3</v>
      </c>
      <c r="J92" s="35"/>
      <c r="K92" s="149">
        <v>164.39</v>
      </c>
      <c r="L92" s="143">
        <f t="shared" ref="L92" si="110">K92/K93-1</f>
        <v>-3.2741162917602207E-3</v>
      </c>
      <c r="M92" s="35"/>
      <c r="N92" s="149">
        <v>49.75</v>
      </c>
      <c r="O92" s="143">
        <f t="shared" si="2"/>
        <v>-4.0040040040040248E-3</v>
      </c>
      <c r="P92" s="35"/>
      <c r="Q92" s="149">
        <v>32.659999999999997</v>
      </c>
      <c r="R92" s="143">
        <f t="shared" ref="R92" si="111">Q92/Q93-1</f>
        <v>-2.2155688622754521E-2</v>
      </c>
    </row>
    <row r="93" spans="3:18" x14ac:dyDescent="0.3">
      <c r="C93" s="157" t="s">
        <v>209</v>
      </c>
      <c r="E93" s="154">
        <v>5460.48</v>
      </c>
      <c r="F93" s="112">
        <f t="shared" si="3"/>
        <v>-7.5760071148589514E-4</v>
      </c>
      <c r="G93" s="35"/>
      <c r="H93" s="149">
        <v>63.65</v>
      </c>
      <c r="I93" s="112">
        <f t="shared" si="3"/>
        <v>1.4019436036323052E-2</v>
      </c>
      <c r="J93" s="35"/>
      <c r="K93" s="149">
        <v>164.93</v>
      </c>
      <c r="L93" s="143">
        <f t="shared" ref="L93" si="112">K93/K94-1</f>
        <v>-1.404830224772835E-2</v>
      </c>
      <c r="M93" s="35"/>
      <c r="N93" s="149">
        <v>49.95</v>
      </c>
      <c r="O93" s="143">
        <f t="shared" si="2"/>
        <v>1.751884294153605E-2</v>
      </c>
      <c r="P93" s="35"/>
      <c r="Q93" s="149">
        <v>33.4</v>
      </c>
      <c r="R93" s="143">
        <f t="shared" ref="R93" si="113">Q93/Q94-1</f>
        <v>-2.8504944735311288E-2</v>
      </c>
    </row>
    <row r="94" spans="3:18" x14ac:dyDescent="0.3">
      <c r="C94" s="157" t="s">
        <v>210</v>
      </c>
      <c r="E94" s="154">
        <v>5464.62</v>
      </c>
      <c r="F94" s="112">
        <f t="shared" si="3"/>
        <v>6.079240002945685E-3</v>
      </c>
      <c r="G94" s="35"/>
      <c r="H94" s="149">
        <v>62.77</v>
      </c>
      <c r="I94" s="112">
        <f t="shared" si="3"/>
        <v>3.5171862509992824E-3</v>
      </c>
      <c r="J94" s="35"/>
      <c r="K94" s="149">
        <v>167.28</v>
      </c>
      <c r="L94" s="143">
        <f t="shared" ref="L94" si="114">K94/K95-1</f>
        <v>2.1183077956168805E-2</v>
      </c>
      <c r="M94" s="35"/>
      <c r="N94" s="149">
        <v>49.09</v>
      </c>
      <c r="O94" s="143">
        <f t="shared" si="2"/>
        <v>2.206953987091409E-2</v>
      </c>
      <c r="P94" s="35"/>
      <c r="Q94" s="149">
        <v>34.380000000000003</v>
      </c>
      <c r="R94" s="143">
        <f t="shared" ref="R94" si="115">Q94/Q95-1</f>
        <v>9.9882491186840117E-3</v>
      </c>
    </row>
    <row r="95" spans="3:18" x14ac:dyDescent="0.3">
      <c r="C95" s="147">
        <v>45541</v>
      </c>
      <c r="E95" s="154">
        <v>5431.6</v>
      </c>
      <c r="F95" s="112">
        <f t="shared" si="3"/>
        <v>1.5823856038631234E-2</v>
      </c>
      <c r="G95" s="35"/>
      <c r="H95" s="149">
        <v>62.55</v>
      </c>
      <c r="I95" s="112">
        <f t="shared" si="3"/>
        <v>-2.1279924894382685E-2</v>
      </c>
      <c r="J95" s="35"/>
      <c r="K95" s="149">
        <v>163.81</v>
      </c>
      <c r="L95" s="143">
        <f t="shared" ref="L95" si="116">K95/K96-1</f>
        <v>-4.227081384471465E-2</v>
      </c>
      <c r="M95" s="35"/>
      <c r="N95" s="149">
        <v>48.03</v>
      </c>
      <c r="O95" s="143">
        <f t="shared" si="2"/>
        <v>-8.8441829569178121E-2</v>
      </c>
      <c r="P95" s="35"/>
      <c r="Q95" s="149">
        <v>34.04</v>
      </c>
      <c r="R95" s="143">
        <f t="shared" ref="R95" si="117">Q95/Q96-1</f>
        <v>-1.7037250938492732E-2</v>
      </c>
    </row>
    <row r="96" spans="3:18" x14ac:dyDescent="0.3">
      <c r="C96" s="147">
        <v>45328</v>
      </c>
      <c r="E96" s="154">
        <v>5346.99</v>
      </c>
      <c r="F96" s="112">
        <f t="shared" si="3"/>
        <v>1.3165299544671605E-2</v>
      </c>
      <c r="G96" s="35"/>
      <c r="H96" s="149">
        <v>63.91</v>
      </c>
      <c r="I96" s="112">
        <f t="shared" si="3"/>
        <v>1.5572858731924377E-2</v>
      </c>
      <c r="J96" s="35"/>
      <c r="K96" s="149">
        <v>171.04</v>
      </c>
      <c r="L96" s="143">
        <f t="shared" ref="L96" si="118">K96/K97-1</f>
        <v>-1.0757663389242444E-2</v>
      </c>
      <c r="M96" s="35"/>
      <c r="N96" s="149">
        <v>52.69</v>
      </c>
      <c r="O96" s="143">
        <f t="shared" si="2"/>
        <v>1.4830508474576121E-2</v>
      </c>
      <c r="P96" s="35"/>
      <c r="Q96" s="149">
        <v>34.630000000000003</v>
      </c>
      <c r="R96" s="143">
        <f t="shared" ref="R96" si="119">Q96/Q97-1</f>
        <v>1.1094890510948918E-2</v>
      </c>
    </row>
    <row r="97" spans="3:18" x14ac:dyDescent="0.3">
      <c r="C97" s="157" t="s">
        <v>211</v>
      </c>
      <c r="E97" s="154">
        <v>5277.51</v>
      </c>
      <c r="F97" s="112">
        <f t="shared" si="3"/>
        <v>-5.1293941998823422E-3</v>
      </c>
      <c r="G97" s="35"/>
      <c r="H97" s="149">
        <v>62.93</v>
      </c>
      <c r="I97" s="112">
        <f t="shared" si="3"/>
        <v>1.4999999999999902E-2</v>
      </c>
      <c r="J97" s="35"/>
      <c r="K97" s="149">
        <v>172.9</v>
      </c>
      <c r="L97" s="143">
        <f t="shared" ref="L97" si="120">K97/K98-1</f>
        <v>-2.8597112197314423E-2</v>
      </c>
      <c r="M97" s="35"/>
      <c r="N97" s="149">
        <v>51.92</v>
      </c>
      <c r="O97" s="143">
        <f t="shared" si="2"/>
        <v>-1.4800759013282705E-2</v>
      </c>
      <c r="P97" s="35"/>
      <c r="Q97" s="149">
        <v>34.25</v>
      </c>
      <c r="R97" s="143">
        <f t="shared" ref="R97" si="121">Q97/Q98-1</f>
        <v>1.7548990933022868E-3</v>
      </c>
    </row>
    <row r="98" spans="3:18" x14ac:dyDescent="0.3">
      <c r="C98" s="157" t="s">
        <v>212</v>
      </c>
      <c r="E98" s="154">
        <v>5304.72</v>
      </c>
      <c r="F98" s="112">
        <f t="shared" si="3"/>
        <v>2.7341621301579799E-4</v>
      </c>
      <c r="G98" s="35"/>
      <c r="H98" s="149">
        <v>62</v>
      </c>
      <c r="I98" s="112">
        <f t="shared" si="3"/>
        <v>-1.6341424718388065E-2</v>
      </c>
      <c r="J98" s="35"/>
      <c r="K98" s="149">
        <v>177.99</v>
      </c>
      <c r="L98" s="143">
        <f t="shared" ref="L98" si="122">K98/K99-1</f>
        <v>-2.305285690762382E-2</v>
      </c>
      <c r="M98" s="35"/>
      <c r="N98" s="149">
        <v>52.7</v>
      </c>
      <c r="O98" s="143">
        <f t="shared" si="2"/>
        <v>-2.6058029939013072E-2</v>
      </c>
      <c r="P98" s="35"/>
      <c r="Q98" s="149">
        <v>34.19</v>
      </c>
      <c r="R98" s="143">
        <f t="shared" ref="R98" si="123">Q98/Q99-1</f>
        <v>1.3037037037036958E-2</v>
      </c>
    </row>
    <row r="99" spans="3:18" x14ac:dyDescent="0.3">
      <c r="C99" s="147">
        <v>45631</v>
      </c>
      <c r="E99" s="154">
        <v>5303.27</v>
      </c>
      <c r="F99" s="112">
        <f t="shared" si="3"/>
        <v>1.5430775004403818E-2</v>
      </c>
      <c r="G99" s="35"/>
      <c r="H99" s="149">
        <v>63.03</v>
      </c>
      <c r="I99" s="112">
        <f t="shared" si="3"/>
        <v>-3.6357888080935652E-3</v>
      </c>
      <c r="J99" s="35"/>
      <c r="K99" s="149">
        <v>182.19</v>
      </c>
      <c r="L99" s="143">
        <f t="shared" ref="L99" si="124">K99/K100-1</f>
        <v>1.334890705823466E-2</v>
      </c>
      <c r="M99" s="35"/>
      <c r="N99" s="149">
        <v>54.11</v>
      </c>
      <c r="O99" s="143">
        <f t="shared" si="2"/>
        <v>-2.4341868012982326E-2</v>
      </c>
      <c r="P99" s="35"/>
      <c r="Q99" s="149">
        <v>33.75</v>
      </c>
      <c r="R99" s="143">
        <f t="shared" ref="R99" si="125">Q99/Q100-1</f>
        <v>-8.2280340875697799E-3</v>
      </c>
    </row>
    <row r="100" spans="3:18" x14ac:dyDescent="0.3">
      <c r="C100" s="147">
        <v>45417</v>
      </c>
      <c r="E100" s="154">
        <v>5222.68</v>
      </c>
      <c r="F100" s="112">
        <f t="shared" si="3"/>
        <v>1.8505047983634393E-2</v>
      </c>
      <c r="G100" s="35"/>
      <c r="H100" s="149">
        <v>63.26</v>
      </c>
      <c r="I100" s="112">
        <f t="shared" si="3"/>
        <v>1.7532571980054534E-2</v>
      </c>
      <c r="J100" s="35"/>
      <c r="K100" s="149">
        <v>179.79</v>
      </c>
      <c r="L100" s="143">
        <f t="shared" ref="L100" si="126">K100/K101-1</f>
        <v>2.0664206642066363E-2</v>
      </c>
      <c r="M100" s="35"/>
      <c r="N100" s="149">
        <v>55.46</v>
      </c>
      <c r="O100" s="143">
        <f t="shared" si="2"/>
        <v>8.3636363636363509E-3</v>
      </c>
      <c r="P100" s="35"/>
      <c r="Q100" s="149">
        <v>34.03</v>
      </c>
      <c r="R100" s="143">
        <f t="shared" ref="R100" si="127">Q100/Q101-1</f>
        <v>5.9119125036950493E-3</v>
      </c>
    </row>
    <row r="101" spans="3:18" x14ac:dyDescent="0.3">
      <c r="C101" s="157" t="s">
        <v>213</v>
      </c>
      <c r="E101" s="154">
        <v>5127.79</v>
      </c>
      <c r="F101" s="112">
        <f t="shared" si="3"/>
        <v>5.4569055443571823E-3</v>
      </c>
      <c r="G101" s="35"/>
      <c r="H101" s="149">
        <v>62.17</v>
      </c>
      <c r="I101" s="112">
        <f t="shared" si="3"/>
        <v>6.9646906381599649E-3</v>
      </c>
      <c r="J101" s="35"/>
      <c r="K101" s="149">
        <v>176.15</v>
      </c>
      <c r="L101" s="143">
        <f t="shared" ref="L101" si="128">K101/K102-1</f>
        <v>3.2463834149674131E-3</v>
      </c>
      <c r="M101" s="35"/>
      <c r="N101" s="149">
        <v>55</v>
      </c>
      <c r="O101" s="143">
        <f t="shared" si="2"/>
        <v>3.0541502716882274E-2</v>
      </c>
      <c r="P101" s="35"/>
      <c r="Q101" s="149">
        <v>33.83</v>
      </c>
      <c r="R101" s="143">
        <f t="shared" ref="R101" si="129">Q101/Q102-1</f>
        <v>3.2621589561090403E-3</v>
      </c>
    </row>
    <row r="102" spans="3:18" x14ac:dyDescent="0.3">
      <c r="C102" s="157" t="s">
        <v>214</v>
      </c>
      <c r="E102" s="154">
        <v>5099.96</v>
      </c>
      <c r="F102" s="112">
        <f t="shared" si="3"/>
        <v>2.6721130287907124E-2</v>
      </c>
      <c r="G102" s="35"/>
      <c r="H102" s="149">
        <v>61.74</v>
      </c>
      <c r="I102" s="112">
        <f t="shared" si="3"/>
        <v>2.6092737244473918E-2</v>
      </c>
      <c r="J102" s="35"/>
      <c r="K102" s="149">
        <v>175.58</v>
      </c>
      <c r="L102" s="143">
        <f t="shared" ref="L102" si="130">K102/K103-1</f>
        <v>8.3271119278700567E-3</v>
      </c>
      <c r="M102" s="35"/>
      <c r="N102" s="149">
        <v>53.37</v>
      </c>
      <c r="O102" s="143">
        <f t="shared" ref="O102:O165" si="131">N102/N103-1</f>
        <v>4.3281896876175008E-3</v>
      </c>
      <c r="P102" s="35"/>
      <c r="Q102" s="149">
        <v>33.72</v>
      </c>
      <c r="R102" s="143">
        <f t="shared" ref="R102" si="132">Q102/Q103-1</f>
        <v>7.0476190476190359E-2</v>
      </c>
    </row>
    <row r="103" spans="3:18" x14ac:dyDescent="0.3">
      <c r="C103" s="157" t="s">
        <v>215</v>
      </c>
      <c r="E103" s="154">
        <v>4967.2299999999996</v>
      </c>
      <c r="F103" s="112">
        <f t="shared" ref="F103:I166" si="133">E103/E104-1</f>
        <v>-3.0483603693633787E-2</v>
      </c>
      <c r="G103" s="35"/>
      <c r="H103" s="149">
        <v>60.17</v>
      </c>
      <c r="I103" s="112">
        <f t="shared" si="133"/>
        <v>3.2429649965682872E-2</v>
      </c>
      <c r="J103" s="35"/>
      <c r="K103" s="149">
        <v>174.13</v>
      </c>
      <c r="L103" s="143">
        <f t="shared" ref="L103" si="134">K103/K104-1</f>
        <v>3.587150505651393E-2</v>
      </c>
      <c r="M103" s="35"/>
      <c r="N103" s="149">
        <v>53.14</v>
      </c>
      <c r="O103" s="143">
        <f t="shared" si="131"/>
        <v>-3.3993819305580764E-2</v>
      </c>
      <c r="P103" s="35"/>
      <c r="Q103" s="149">
        <v>31.5</v>
      </c>
      <c r="R103" s="143">
        <f t="shared" ref="R103" si="135">Q103/Q104-1</f>
        <v>4.2356055592323028E-2</v>
      </c>
    </row>
    <row r="104" spans="3:18" x14ac:dyDescent="0.3">
      <c r="C104" s="147">
        <v>45477</v>
      </c>
      <c r="E104" s="154">
        <v>5123.41</v>
      </c>
      <c r="F104" s="112">
        <f t="shared" si="133"/>
        <v>-1.5550482866223292E-2</v>
      </c>
      <c r="G104" s="35"/>
      <c r="H104" s="149">
        <v>58.28</v>
      </c>
      <c r="I104" s="112">
        <f t="shared" si="133"/>
        <v>-2.0668795160477149E-2</v>
      </c>
      <c r="J104" s="35"/>
      <c r="K104" s="149">
        <v>168.1</v>
      </c>
      <c r="L104" s="143">
        <f t="shared" ref="L104" si="136">K104/K105-1</f>
        <v>-6.1487525127112974E-3</v>
      </c>
      <c r="M104" s="35"/>
      <c r="N104" s="149">
        <v>55.01</v>
      </c>
      <c r="O104" s="143">
        <f t="shared" si="131"/>
        <v>-1.5921288014311252E-2</v>
      </c>
      <c r="P104" s="35"/>
      <c r="Q104" s="149">
        <v>30.22</v>
      </c>
      <c r="R104" s="143">
        <f t="shared" ref="R104" si="137">Q104/Q105-1</f>
        <v>-1.7874553136171589E-2</v>
      </c>
    </row>
    <row r="105" spans="3:18" x14ac:dyDescent="0.3">
      <c r="C105" s="157" t="s">
        <v>216</v>
      </c>
      <c r="E105" s="154">
        <v>5204.34</v>
      </c>
      <c r="F105" s="112">
        <f t="shared" si="133"/>
        <v>-9.5178280853007724E-3</v>
      </c>
      <c r="G105" s="35"/>
      <c r="H105" s="149">
        <v>59.51</v>
      </c>
      <c r="I105" s="112">
        <f t="shared" si="133"/>
        <v>-2.7296502124877442E-2</v>
      </c>
      <c r="J105" s="35"/>
      <c r="K105" s="149">
        <v>169.14</v>
      </c>
      <c r="L105" s="143">
        <f t="shared" ref="L105" si="138">K105/K106-1</f>
        <v>-3.3540940517684747E-2</v>
      </c>
      <c r="M105" s="35"/>
      <c r="N105" s="149">
        <v>55.9</v>
      </c>
      <c r="O105" s="143">
        <f t="shared" si="131"/>
        <v>-5.7017543859649189E-2</v>
      </c>
      <c r="P105" s="35"/>
      <c r="Q105" s="149">
        <v>30.77</v>
      </c>
      <c r="R105" s="143">
        <f t="shared" ref="R105" si="139">Q105/Q106-1</f>
        <v>3.2605151613953609E-3</v>
      </c>
    </row>
    <row r="106" spans="3:18" x14ac:dyDescent="0.3">
      <c r="C106" s="157" t="s">
        <v>217</v>
      </c>
      <c r="E106" s="154">
        <v>5254.35</v>
      </c>
      <c r="F106" s="112">
        <f t="shared" si="133"/>
        <v>3.8535166922040176E-3</v>
      </c>
      <c r="G106" s="35"/>
      <c r="H106" s="149">
        <v>61.18</v>
      </c>
      <c r="I106" s="112">
        <f t="shared" si="133"/>
        <v>1.1406844106463865E-2</v>
      </c>
      <c r="J106" s="35"/>
      <c r="K106" s="149">
        <v>175.01</v>
      </c>
      <c r="L106" s="143">
        <f t="shared" ref="L106" si="140">K106/K107-1</f>
        <v>1.7381699802348383E-2</v>
      </c>
      <c r="M106" s="35"/>
      <c r="N106" s="149">
        <v>59.28</v>
      </c>
      <c r="O106" s="143">
        <f t="shared" si="131"/>
        <v>-3.6974789915966699E-3</v>
      </c>
      <c r="P106" s="35"/>
      <c r="Q106" s="149">
        <v>30.67</v>
      </c>
      <c r="R106" s="143">
        <f t="shared" ref="R106" si="141">Q106/Q107-1</f>
        <v>2.9194630872483307E-2</v>
      </c>
    </row>
    <row r="107" spans="3:18" x14ac:dyDescent="0.3">
      <c r="C107" s="157" t="s">
        <v>218</v>
      </c>
      <c r="E107" s="154">
        <v>5234.18</v>
      </c>
      <c r="F107" s="112">
        <f t="shared" si="133"/>
        <v>2.2882145907146434E-2</v>
      </c>
      <c r="G107" s="35"/>
      <c r="H107" s="149">
        <v>60.49</v>
      </c>
      <c r="I107" s="112">
        <f t="shared" si="133"/>
        <v>1.0187040748163012E-2</v>
      </c>
      <c r="J107" s="35"/>
      <c r="K107" s="149">
        <v>172.02</v>
      </c>
      <c r="L107" s="143">
        <f t="shared" ref="L107" si="142">K107/K108-1</f>
        <v>4.4698165917648636E-2</v>
      </c>
      <c r="M107" s="35"/>
      <c r="N107" s="149">
        <v>59.5</v>
      </c>
      <c r="O107" s="143">
        <f t="shared" si="131"/>
        <v>-1.5715467328370591E-2</v>
      </c>
      <c r="P107" s="35"/>
      <c r="Q107" s="149">
        <v>29.8</v>
      </c>
      <c r="R107" s="143">
        <f t="shared" ref="R107" si="143">Q107/Q108-1</f>
        <v>3.1855955678670389E-2</v>
      </c>
    </row>
    <row r="108" spans="3:18" x14ac:dyDescent="0.3">
      <c r="C108" s="147">
        <v>45568</v>
      </c>
      <c r="E108" s="154">
        <v>5117.09</v>
      </c>
      <c r="F108" s="112">
        <f t="shared" si="133"/>
        <v>-1.2881341377014577E-3</v>
      </c>
      <c r="G108" s="35"/>
      <c r="H108" s="149">
        <v>59.88</v>
      </c>
      <c r="I108" s="112">
        <f t="shared" si="133"/>
        <v>6.0483870967742437E-3</v>
      </c>
      <c r="J108" s="35"/>
      <c r="K108" s="149">
        <v>164.66</v>
      </c>
      <c r="L108" s="143">
        <f t="shared" ref="L108" si="144">K108/K109-1</f>
        <v>9.8742716957986865E-3</v>
      </c>
      <c r="M108" s="35"/>
      <c r="N108" s="149">
        <v>60.45</v>
      </c>
      <c r="O108" s="143">
        <f t="shared" si="131"/>
        <v>2.145995268671852E-2</v>
      </c>
      <c r="P108" s="35"/>
      <c r="Q108" s="149">
        <v>28.88</v>
      </c>
      <c r="R108" s="143">
        <f t="shared" ref="R108" si="145">Q108/Q109-1</f>
        <v>-8.9224433768017031E-3</v>
      </c>
    </row>
    <row r="109" spans="3:18" x14ac:dyDescent="0.3">
      <c r="C109" s="147">
        <v>45354</v>
      </c>
      <c r="E109" s="154">
        <v>5123.6899999999996</v>
      </c>
      <c r="F109" s="112">
        <f t="shared" si="133"/>
        <v>-2.6065391233931479E-3</v>
      </c>
      <c r="G109" s="35"/>
      <c r="H109" s="149">
        <v>59.52</v>
      </c>
      <c r="I109" s="112">
        <f t="shared" si="133"/>
        <v>-1.6798252981686801E-4</v>
      </c>
      <c r="J109" s="35"/>
      <c r="K109" s="149">
        <v>163.05000000000001</v>
      </c>
      <c r="L109" s="143">
        <f t="shared" ref="L109" si="146">K109/K110-1</f>
        <v>-9.3565830244850545E-3</v>
      </c>
      <c r="M109" s="35"/>
      <c r="N109" s="149">
        <v>59.18</v>
      </c>
      <c r="O109" s="143">
        <f t="shared" si="131"/>
        <v>6.6337812553154407E-3</v>
      </c>
      <c r="P109" s="35"/>
      <c r="Q109" s="149">
        <v>29.14</v>
      </c>
      <c r="R109" s="143">
        <f t="shared" ref="R109" si="147">Q109/Q110-1</f>
        <v>-4.7814207650273E-3</v>
      </c>
    </row>
    <row r="110" spans="3:18" x14ac:dyDescent="0.3">
      <c r="C110" s="157" t="s">
        <v>219</v>
      </c>
      <c r="E110" s="154">
        <v>5137.08</v>
      </c>
      <c r="F110" s="112">
        <f t="shared" si="133"/>
        <v>9.4875019650997316E-3</v>
      </c>
      <c r="G110" s="35"/>
      <c r="H110" s="149">
        <v>59.53</v>
      </c>
      <c r="I110" s="112">
        <f t="shared" si="133"/>
        <v>-2.7287581699346419E-2</v>
      </c>
      <c r="J110" s="35"/>
      <c r="K110" s="149">
        <v>164.59</v>
      </c>
      <c r="L110" s="143">
        <f t="shared" ref="L110" si="148">K110/K111-1</f>
        <v>-2.9540094339622569E-2</v>
      </c>
      <c r="M110" s="35"/>
      <c r="N110" s="149">
        <v>58.79</v>
      </c>
      <c r="O110" s="143">
        <f t="shared" si="131"/>
        <v>6.3302586362814273E-2</v>
      </c>
      <c r="P110" s="35"/>
      <c r="Q110" s="149">
        <v>29.28</v>
      </c>
      <c r="R110" s="143">
        <f t="shared" ref="R110" si="149">Q110/Q111-1</f>
        <v>-3.0142431268632031E-2</v>
      </c>
    </row>
    <row r="111" spans="3:18" x14ac:dyDescent="0.3">
      <c r="C111" s="157" t="s">
        <v>220</v>
      </c>
      <c r="E111" s="154">
        <v>5088.8</v>
      </c>
      <c r="F111" s="112">
        <f t="shared" si="133"/>
        <v>1.6627476990632495E-2</v>
      </c>
      <c r="G111" s="35"/>
      <c r="H111" s="149">
        <v>61.2</v>
      </c>
      <c r="I111" s="112">
        <f t="shared" si="133"/>
        <v>3.0476511197171208E-2</v>
      </c>
      <c r="J111" s="35"/>
      <c r="K111" s="149">
        <v>169.6</v>
      </c>
      <c r="L111" s="143">
        <f t="shared" ref="L111" si="150">K111/K112-1</f>
        <v>1.9721019721019806E-2</v>
      </c>
      <c r="M111" s="35"/>
      <c r="N111" s="149">
        <v>55.29</v>
      </c>
      <c r="O111" s="143">
        <f t="shared" si="131"/>
        <v>4.9073064340239281E-3</v>
      </c>
      <c r="P111" s="35"/>
      <c r="Q111" s="149">
        <v>30.19</v>
      </c>
      <c r="R111" s="143">
        <f t="shared" ref="R111" si="151">Q111/Q112-1</f>
        <v>-2.5185663545366443E-2</v>
      </c>
    </row>
    <row r="112" spans="3:18" x14ac:dyDescent="0.3">
      <c r="C112" s="147">
        <v>45598</v>
      </c>
      <c r="E112" s="154">
        <v>5005.57</v>
      </c>
      <c r="F112" s="112">
        <f t="shared" si="133"/>
        <v>-4.1857235791119551E-3</v>
      </c>
      <c r="G112" s="35"/>
      <c r="H112" s="149">
        <v>59.39</v>
      </c>
      <c r="I112" s="112">
        <f t="shared" si="133"/>
        <v>-2.8542646071189059E-3</v>
      </c>
      <c r="J112" s="35"/>
      <c r="K112" s="149">
        <v>166.32</v>
      </c>
      <c r="L112" s="143">
        <f t="shared" ref="L112" si="152">K112/K113-1</f>
        <v>-8.0515297906601502E-3</v>
      </c>
      <c r="M112" s="35"/>
      <c r="N112" s="149">
        <v>55.02</v>
      </c>
      <c r="O112" s="143">
        <f t="shared" si="131"/>
        <v>-1.149838303988493E-2</v>
      </c>
      <c r="P112" s="35"/>
      <c r="Q112" s="149">
        <v>30.97</v>
      </c>
      <c r="R112" s="143">
        <f t="shared" ref="R112" si="153">Q112/Q113-1</f>
        <v>-5.7784911717495557E-3</v>
      </c>
    </row>
    <row r="113" spans="3:18" x14ac:dyDescent="0.3">
      <c r="C113" s="147">
        <v>45384</v>
      </c>
      <c r="E113" s="154">
        <v>5026.6099999999997</v>
      </c>
      <c r="F113" s="112">
        <f t="shared" si="133"/>
        <v>1.3713520522888434E-2</v>
      </c>
      <c r="G113" s="35"/>
      <c r="H113" s="149">
        <v>59.56</v>
      </c>
      <c r="I113" s="112">
        <f t="shared" si="133"/>
        <v>-1.6187644532540402E-2</v>
      </c>
      <c r="J113" s="35"/>
      <c r="K113" s="149">
        <v>167.67</v>
      </c>
      <c r="L113" s="143">
        <f t="shared" ref="L113" si="154">K113/K114-1</f>
        <v>-1.9301631865239588E-2</v>
      </c>
      <c r="M113" s="35"/>
      <c r="N113" s="149">
        <v>55.66</v>
      </c>
      <c r="O113" s="143">
        <f t="shared" si="131"/>
        <v>5.6007226738932214E-3</v>
      </c>
      <c r="P113" s="35"/>
      <c r="Q113" s="149">
        <v>31.15</v>
      </c>
      <c r="R113" s="143">
        <f t="shared" ref="R113" si="155">Q113/Q114-1</f>
        <v>-1.5797788309636629E-2</v>
      </c>
    </row>
    <row r="114" spans="3:18" x14ac:dyDescent="0.3">
      <c r="C114" s="157" t="s">
        <v>221</v>
      </c>
      <c r="E114" s="154">
        <v>4958.6099999999997</v>
      </c>
      <c r="F114" s="112">
        <f t="shared" si="133"/>
        <v>1.3829567549995092E-2</v>
      </c>
      <c r="G114" s="35"/>
      <c r="H114" s="149">
        <v>60.54</v>
      </c>
      <c r="I114" s="112">
        <f t="shared" si="133"/>
        <v>1.9706922688226491E-2</v>
      </c>
      <c r="J114" s="35"/>
      <c r="K114" s="149">
        <v>170.97</v>
      </c>
      <c r="L114" s="143">
        <f t="shared" ref="L114" si="156">K114/K115-1</f>
        <v>1.8527344215417463E-2</v>
      </c>
      <c r="M114" s="35"/>
      <c r="N114" s="149">
        <v>55.35</v>
      </c>
      <c r="O114" s="143">
        <f t="shared" si="131"/>
        <v>-1.6233766233765268E-3</v>
      </c>
      <c r="P114" s="35"/>
      <c r="Q114" s="149">
        <v>31.65</v>
      </c>
      <c r="R114" s="143">
        <f t="shared" ref="R114" si="157">Q114/Q115-1</f>
        <v>-1.0318949343339656E-2</v>
      </c>
    </row>
    <row r="115" spans="3:18" x14ac:dyDescent="0.3">
      <c r="C115" s="157" t="s">
        <v>222</v>
      </c>
      <c r="E115" s="154">
        <v>4890.97</v>
      </c>
      <c r="F115" s="112">
        <f t="shared" si="133"/>
        <v>1.0570662897923633E-2</v>
      </c>
      <c r="G115" s="35"/>
      <c r="H115" s="149">
        <v>59.37</v>
      </c>
      <c r="I115" s="112">
        <f t="shared" si="133"/>
        <v>-7.6884506100618477E-3</v>
      </c>
      <c r="J115" s="35"/>
      <c r="K115" s="149">
        <v>167.86</v>
      </c>
      <c r="L115" s="143">
        <f t="shared" ref="L115" si="158">K115/K116-1</f>
        <v>1.2546748703100574E-2</v>
      </c>
      <c r="M115" s="35"/>
      <c r="N115" s="149">
        <v>55.44</v>
      </c>
      <c r="O115" s="143">
        <f t="shared" si="131"/>
        <v>-3.0430220356768123E-2</v>
      </c>
      <c r="P115" s="35"/>
      <c r="Q115" s="149">
        <v>31.98</v>
      </c>
      <c r="R115" s="143">
        <f t="shared" ref="R115" si="159">Q115/Q116-1</f>
        <v>2.822201317027373E-3</v>
      </c>
    </row>
    <row r="116" spans="3:18" x14ac:dyDescent="0.3">
      <c r="C116" s="157" t="s">
        <v>223</v>
      </c>
      <c r="E116" s="154">
        <v>4839.8100000000004</v>
      </c>
      <c r="F116" s="112">
        <f t="shared" si="133"/>
        <v>1.1701920845849534E-2</v>
      </c>
      <c r="G116" s="35"/>
      <c r="H116" s="149">
        <v>59.83</v>
      </c>
      <c r="I116" s="112">
        <f t="shared" si="133"/>
        <v>-9.2730584533863292E-3</v>
      </c>
      <c r="J116" s="35"/>
      <c r="K116" s="149">
        <v>165.78</v>
      </c>
      <c r="L116" s="143">
        <f t="shared" ref="L116" si="160">K116/K117-1</f>
        <v>-8.907753930770701E-3</v>
      </c>
      <c r="M116" s="35"/>
      <c r="N116" s="149">
        <v>57.18</v>
      </c>
      <c r="O116" s="143">
        <f t="shared" si="131"/>
        <v>-3.1668077900084635E-2</v>
      </c>
      <c r="P116" s="35"/>
      <c r="Q116" s="149">
        <v>31.89</v>
      </c>
      <c r="R116" s="143">
        <f t="shared" ref="R116" si="161">Q116/Q117-1</f>
        <v>-6.2676277029138916E-4</v>
      </c>
    </row>
    <row r="117" spans="3:18" x14ac:dyDescent="0.3">
      <c r="C117" s="147">
        <v>45474</v>
      </c>
      <c r="E117" s="154">
        <v>4783.83</v>
      </c>
      <c r="F117" s="112">
        <f t="shared" si="133"/>
        <v>1.8434229462407803E-2</v>
      </c>
      <c r="G117" s="35"/>
      <c r="H117" s="149">
        <v>60.39</v>
      </c>
      <c r="I117" s="112">
        <f t="shared" si="133"/>
        <v>1.2066365007541435E-2</v>
      </c>
      <c r="J117" s="35"/>
      <c r="K117" s="149">
        <v>167.27</v>
      </c>
      <c r="L117" s="143">
        <f t="shared" ref="L117" si="162">K117/K118-1</f>
        <v>-9.8851663312418125E-3</v>
      </c>
      <c r="M117" s="35"/>
      <c r="N117" s="149">
        <v>59.05</v>
      </c>
      <c r="O117" s="143">
        <f t="shared" si="131"/>
        <v>2.6242613833854733E-2</v>
      </c>
      <c r="P117" s="35"/>
      <c r="Q117" s="149">
        <v>31.91</v>
      </c>
      <c r="R117" s="143">
        <f t="shared" ref="R117" si="163">Q117/Q118-1</f>
        <v>-1.8767594619956141E-3</v>
      </c>
    </row>
    <row r="118" spans="3:18" x14ac:dyDescent="0.3">
      <c r="C118" s="157" t="s">
        <v>224</v>
      </c>
      <c r="E118" s="154">
        <v>4697.24</v>
      </c>
      <c r="F118" s="112">
        <f t="shared" si="133"/>
        <v>-1.5218571731067998E-2</v>
      </c>
      <c r="G118" s="35"/>
      <c r="H118" s="149">
        <v>59.67</v>
      </c>
      <c r="I118" s="112">
        <f t="shared" si="133"/>
        <v>1.255727133887663E-2</v>
      </c>
      <c r="J118" s="35"/>
      <c r="K118" s="149">
        <v>168.94</v>
      </c>
      <c r="L118" s="143">
        <f t="shared" ref="L118" si="164">K118/K119-1</f>
        <v>-5.2991050400377215E-3</v>
      </c>
      <c r="M118" s="35"/>
      <c r="N118" s="149">
        <v>57.54</v>
      </c>
      <c r="O118" s="143">
        <f t="shared" si="131"/>
        <v>-1.2150668286755595E-3</v>
      </c>
      <c r="P118" s="35"/>
      <c r="Q118" s="149">
        <v>31.97</v>
      </c>
      <c r="R118" s="143">
        <f t="shared" ref="R118" si="165">Q118/Q119-1</f>
        <v>-4.0516206482593131E-2</v>
      </c>
    </row>
    <row r="119" spans="3:18" x14ac:dyDescent="0.3">
      <c r="C119" s="157" t="s">
        <v>225</v>
      </c>
      <c r="E119" s="154">
        <v>4769.83</v>
      </c>
      <c r="F119" s="112">
        <f t="shared" si="133"/>
        <v>3.1968838795026766E-3</v>
      </c>
      <c r="G119" s="35"/>
      <c r="H119" s="149">
        <v>58.93</v>
      </c>
      <c r="I119" s="112">
        <f t="shared" si="133"/>
        <v>1.0459533607681815E-2</v>
      </c>
      <c r="J119" s="35"/>
      <c r="K119" s="149">
        <v>169.84</v>
      </c>
      <c r="L119" s="143">
        <f t="shared" ref="L119" si="166">K119/K120-1</f>
        <v>1.288167938931295E-2</v>
      </c>
      <c r="M119" s="35"/>
      <c r="N119" s="149">
        <v>57.61</v>
      </c>
      <c r="O119" s="143">
        <f t="shared" si="131"/>
        <v>2.8566327441528427E-2</v>
      </c>
      <c r="P119" s="35"/>
      <c r="Q119" s="149">
        <v>33.32</v>
      </c>
      <c r="R119" s="143">
        <f t="shared" ref="R119" si="167">Q119/Q120-1</f>
        <v>1.4925373134328401E-2</v>
      </c>
    </row>
    <row r="120" spans="3:18" x14ac:dyDescent="0.3">
      <c r="C120" s="157" t="s">
        <v>226</v>
      </c>
      <c r="E120" s="154">
        <v>4754.63</v>
      </c>
      <c r="F120" s="112">
        <f t="shared" si="133"/>
        <v>7.5097633280287734E-3</v>
      </c>
      <c r="G120" s="35"/>
      <c r="H120" s="149">
        <v>58.32</v>
      </c>
      <c r="I120" s="112">
        <f t="shared" si="133"/>
        <v>-4.778156996587013E-3</v>
      </c>
      <c r="J120" s="35"/>
      <c r="K120" s="149">
        <v>167.68</v>
      </c>
      <c r="L120" s="143">
        <f t="shared" ref="L120" si="168">K120/K121-1</f>
        <v>4.0718562874251241E-3</v>
      </c>
      <c r="M120" s="35"/>
      <c r="N120" s="149">
        <v>56.01</v>
      </c>
      <c r="O120" s="143">
        <f t="shared" si="131"/>
        <v>1.6699945543655836E-2</v>
      </c>
      <c r="P120" s="35"/>
      <c r="Q120" s="149">
        <v>32.83</v>
      </c>
      <c r="R120" s="143">
        <f t="shared" ref="R120" si="169">Q120/Q121-1</f>
        <v>2.6900218955270505E-2</v>
      </c>
    </row>
    <row r="121" spans="3:18" x14ac:dyDescent="0.3">
      <c r="C121" s="147">
        <v>45211</v>
      </c>
      <c r="E121" s="154">
        <v>4719.1899999999996</v>
      </c>
      <c r="F121" s="112">
        <f t="shared" si="133"/>
        <v>2.493717924493466E-2</v>
      </c>
      <c r="G121" s="35"/>
      <c r="H121" s="149">
        <v>58.6</v>
      </c>
      <c r="I121" s="112">
        <f t="shared" si="133"/>
        <v>-1.7061934823403568E-4</v>
      </c>
      <c r="J121" s="35"/>
      <c r="K121" s="149">
        <v>167</v>
      </c>
      <c r="L121" s="143">
        <f t="shared" ref="L121" si="170">K121/K122-1</f>
        <v>7.9671656204731711E-3</v>
      </c>
      <c r="M121" s="35"/>
      <c r="N121" s="149">
        <v>55.09</v>
      </c>
      <c r="O121" s="143">
        <f t="shared" si="131"/>
        <v>2.1698813056379773E-2</v>
      </c>
      <c r="P121" s="35"/>
      <c r="Q121" s="149">
        <v>31.97</v>
      </c>
      <c r="R121" s="143">
        <f t="shared" ref="R121" si="171">Q121/Q122-1</f>
        <v>-4.3600124571784304E-3</v>
      </c>
    </row>
    <row r="122" spans="3:18" x14ac:dyDescent="0.3">
      <c r="C122" s="147">
        <v>44997</v>
      </c>
      <c r="E122" s="154">
        <v>4604.37</v>
      </c>
      <c r="F122" s="112">
        <f t="shared" si="133"/>
        <v>2.1198660175030248E-3</v>
      </c>
      <c r="G122" s="35"/>
      <c r="H122" s="149">
        <v>58.61</v>
      </c>
      <c r="I122" s="112">
        <f t="shared" si="133"/>
        <v>-5.1159618008189689E-4</v>
      </c>
      <c r="J122" s="35"/>
      <c r="K122" s="149">
        <v>165.68</v>
      </c>
      <c r="L122" s="143">
        <f t="shared" ref="L122" si="172">K122/K123-1</f>
        <v>-1.7843381350405974E-2</v>
      </c>
      <c r="M122" s="35"/>
      <c r="N122" s="149">
        <v>53.92</v>
      </c>
      <c r="O122" s="143">
        <f t="shared" si="131"/>
        <v>-2.3542194856935872E-2</v>
      </c>
      <c r="P122" s="35"/>
      <c r="Q122" s="149">
        <v>32.11</v>
      </c>
      <c r="R122" s="143">
        <f t="shared" ref="R122" si="173">Q122/Q123-1</f>
        <v>-1.865091700341992E-3</v>
      </c>
    </row>
    <row r="123" spans="3:18" x14ac:dyDescent="0.3">
      <c r="C123" s="157" t="s">
        <v>227</v>
      </c>
      <c r="E123" s="154">
        <v>4594.63</v>
      </c>
      <c r="F123" s="112">
        <f t="shared" si="133"/>
        <v>7.740155373365365E-3</v>
      </c>
      <c r="G123" s="35"/>
      <c r="H123" s="149">
        <v>58.64</v>
      </c>
      <c r="I123" s="112">
        <f t="shared" si="133"/>
        <v>1.1951511012464611E-3</v>
      </c>
      <c r="J123" s="35"/>
      <c r="K123" s="149">
        <v>168.69</v>
      </c>
      <c r="L123" s="143">
        <f t="shared" ref="L123" si="174">K123/K124-1</f>
        <v>-4.0148786680049842E-3</v>
      </c>
      <c r="M123" s="35"/>
      <c r="N123" s="149">
        <v>55.22</v>
      </c>
      <c r="O123" s="143">
        <f t="shared" si="131"/>
        <v>9.0628965017214291E-4</v>
      </c>
      <c r="P123" s="35"/>
      <c r="Q123" s="149">
        <v>32.17</v>
      </c>
      <c r="R123" s="143">
        <f t="shared" ref="R123" si="175">Q123/Q124-1</f>
        <v>-1.37952176578785E-2</v>
      </c>
    </row>
    <row r="124" spans="3:18" x14ac:dyDescent="0.3">
      <c r="C124" s="157" t="s">
        <v>228</v>
      </c>
      <c r="E124" s="154">
        <v>4559.34</v>
      </c>
      <c r="F124" s="112">
        <f t="shared" si="133"/>
        <v>1.003983145843379E-2</v>
      </c>
      <c r="G124" s="35"/>
      <c r="H124" s="149">
        <v>58.57</v>
      </c>
      <c r="I124" s="112">
        <f t="shared" si="133"/>
        <v>2.2878099895214943E-2</v>
      </c>
      <c r="J124" s="35"/>
      <c r="K124" s="149">
        <v>169.37</v>
      </c>
      <c r="L124" s="143">
        <f t="shared" ref="L124" si="176">K124/K125-1</f>
        <v>1.5651235308227429E-2</v>
      </c>
      <c r="M124" s="35"/>
      <c r="N124" s="149">
        <v>55.17</v>
      </c>
      <c r="O124" s="143">
        <f t="shared" si="131"/>
        <v>6.9355721847053076E-3</v>
      </c>
      <c r="P124" s="35"/>
      <c r="Q124" s="149">
        <v>32.619999999999997</v>
      </c>
      <c r="R124" s="143">
        <f t="shared" ref="R124" si="177">Q124/Q125-1</f>
        <v>2.804916482823816E-2</v>
      </c>
    </row>
    <row r="125" spans="3:18" x14ac:dyDescent="0.3">
      <c r="C125" s="147">
        <v>45271</v>
      </c>
      <c r="E125" s="154">
        <v>4514.0200000000004</v>
      </c>
      <c r="F125" s="112">
        <f t="shared" si="133"/>
        <v>2.2372509761643844E-2</v>
      </c>
      <c r="G125" s="35"/>
      <c r="H125" s="149">
        <v>57.26</v>
      </c>
      <c r="I125" s="112">
        <f t="shared" si="133"/>
        <v>9.5204513399154145E-3</v>
      </c>
      <c r="J125" s="35"/>
      <c r="K125" s="149">
        <v>166.76</v>
      </c>
      <c r="L125" s="143">
        <f t="shared" ref="L125" si="178">K125/K126-1</f>
        <v>-9.5854301461772984E-4</v>
      </c>
      <c r="M125" s="35"/>
      <c r="N125" s="149">
        <v>54.79</v>
      </c>
      <c r="O125" s="143">
        <f t="shared" si="131"/>
        <v>-8.8639652677279246E-3</v>
      </c>
      <c r="P125" s="35"/>
      <c r="Q125" s="149">
        <v>31.73</v>
      </c>
      <c r="R125" s="143">
        <f t="shared" ref="R125" si="179">Q125/Q126-1</f>
        <v>2.4539877300613577E-2</v>
      </c>
    </row>
    <row r="126" spans="3:18" x14ac:dyDescent="0.3">
      <c r="C126" s="147">
        <v>45057</v>
      </c>
      <c r="E126" s="154">
        <v>4415.24</v>
      </c>
      <c r="F126" s="112">
        <f t="shared" si="133"/>
        <v>1.3055429360719906E-2</v>
      </c>
      <c r="G126" s="35"/>
      <c r="H126" s="149">
        <v>56.72</v>
      </c>
      <c r="I126" s="112">
        <f t="shared" si="133"/>
        <v>-3.5248501938678345E-4</v>
      </c>
      <c r="J126" s="35"/>
      <c r="K126" s="149">
        <v>166.92</v>
      </c>
      <c r="L126" s="143">
        <f t="shared" ref="L126" si="180">K126/K127-1</f>
        <v>7.7942322681212595E-4</v>
      </c>
      <c r="M126" s="35"/>
      <c r="N126" s="149">
        <v>55.28</v>
      </c>
      <c r="O126" s="143">
        <f t="shared" si="131"/>
        <v>-5.0395968322534124E-3</v>
      </c>
      <c r="P126" s="35"/>
      <c r="Q126" s="149">
        <v>30.97</v>
      </c>
      <c r="R126" s="143">
        <f t="shared" ref="R126" si="181">Q126/Q127-1</f>
        <v>-4.8200514138818651E-3</v>
      </c>
    </row>
    <row r="127" spans="3:18" x14ac:dyDescent="0.3">
      <c r="C127" s="157" t="s">
        <v>229</v>
      </c>
      <c r="E127" s="154">
        <v>4358.34</v>
      </c>
      <c r="F127" s="112">
        <f t="shared" si="133"/>
        <v>5.852522362576118E-2</v>
      </c>
      <c r="G127" s="35"/>
      <c r="H127" s="149">
        <v>56.74</v>
      </c>
      <c r="I127" s="112">
        <f t="shared" si="133"/>
        <v>2.7154236060825454E-2</v>
      </c>
      <c r="J127" s="35"/>
      <c r="K127" s="149">
        <v>166.79</v>
      </c>
      <c r="L127" s="143">
        <f t="shared" ref="L127" si="182">K127/K128-1</f>
        <v>4.4919183059766832E-2</v>
      </c>
      <c r="M127" s="35"/>
      <c r="N127" s="149">
        <v>55.56</v>
      </c>
      <c r="O127" s="143">
        <f t="shared" si="131"/>
        <v>0.11342685370741501</v>
      </c>
      <c r="P127" s="35"/>
      <c r="Q127" s="149">
        <v>31.12</v>
      </c>
      <c r="R127" s="143">
        <f t="shared" ref="R127" si="183">Q127/Q128-1</f>
        <v>4.1848008034817585E-2</v>
      </c>
    </row>
    <row r="128" spans="3:18" x14ac:dyDescent="0.3">
      <c r="C128" s="157" t="s">
        <v>230</v>
      </c>
      <c r="E128" s="154">
        <v>4117.37</v>
      </c>
      <c r="F128" s="112">
        <f t="shared" si="133"/>
        <v>-2.5280765880080325E-2</v>
      </c>
      <c r="G128" s="35"/>
      <c r="H128" s="149">
        <v>55.24</v>
      </c>
      <c r="I128" s="112">
        <f t="shared" si="133"/>
        <v>1.2277808319589578E-2</v>
      </c>
      <c r="J128" s="35"/>
      <c r="K128" s="149">
        <v>159.62</v>
      </c>
      <c r="L128" s="143">
        <f t="shared" ref="L128" si="184">K128/K129-1</f>
        <v>-2.375000000000016E-3</v>
      </c>
      <c r="M128" s="35"/>
      <c r="N128" s="149">
        <v>49.9</v>
      </c>
      <c r="O128" s="143">
        <f t="shared" si="131"/>
        <v>-1.6006402561024036E-3</v>
      </c>
      <c r="P128" s="35"/>
      <c r="Q128" s="149">
        <v>29.87</v>
      </c>
      <c r="R128" s="143">
        <f t="shared" ref="R128" si="185">Q128/Q129-1</f>
        <v>4.2582897033158984E-2</v>
      </c>
    </row>
    <row r="129" spans="3:18" x14ac:dyDescent="0.3">
      <c r="C129" s="157" t="s">
        <v>231</v>
      </c>
      <c r="E129" s="154">
        <v>4224.16</v>
      </c>
      <c r="F129" s="112">
        <f t="shared" si="133"/>
        <v>-2.3942991556872073E-2</v>
      </c>
      <c r="G129" s="35"/>
      <c r="H129" s="149">
        <v>54.57</v>
      </c>
      <c r="I129" s="112">
        <f t="shared" si="133"/>
        <v>3.1764038570618158E-2</v>
      </c>
      <c r="J129" s="35"/>
      <c r="K129" s="149">
        <v>160</v>
      </c>
      <c r="L129" s="143">
        <f t="shared" ref="L129" si="186">K129/K130-1</f>
        <v>0</v>
      </c>
      <c r="M129" s="35"/>
      <c r="N129" s="149">
        <v>49.98</v>
      </c>
      <c r="O129" s="143">
        <f t="shared" si="131"/>
        <v>4.7359597652975705E-2</v>
      </c>
      <c r="P129" s="35"/>
      <c r="Q129" s="149">
        <v>28.65</v>
      </c>
      <c r="R129" s="143">
        <f t="shared" ref="R129" si="187">Q129/Q130-1</f>
        <v>1.9210245464247544E-2</v>
      </c>
    </row>
    <row r="130" spans="3:18" x14ac:dyDescent="0.3">
      <c r="C130" s="147">
        <v>45148</v>
      </c>
      <c r="E130" s="154">
        <v>4327.78</v>
      </c>
      <c r="F130" s="112">
        <f t="shared" si="133"/>
        <v>4.4748752466055031E-3</v>
      </c>
      <c r="G130" s="35"/>
      <c r="H130" s="149">
        <v>52.89</v>
      </c>
      <c r="I130" s="112">
        <f t="shared" si="133"/>
        <v>-4.7045540082799597E-3</v>
      </c>
      <c r="J130" s="35"/>
      <c r="K130" s="149">
        <v>160</v>
      </c>
      <c r="L130" s="143">
        <f t="shared" ref="L130" si="188">K130/K131-1</f>
        <v>-1.8092207873229293E-3</v>
      </c>
      <c r="M130" s="35"/>
      <c r="N130" s="149">
        <v>47.72</v>
      </c>
      <c r="O130" s="143">
        <f t="shared" si="131"/>
        <v>-4.5027016209725823E-2</v>
      </c>
      <c r="P130" s="35"/>
      <c r="Q130" s="149">
        <v>28.11</v>
      </c>
      <c r="R130" s="143">
        <f t="shared" ref="R130" si="189">Q130/Q131-1</f>
        <v>-6.5181243764549368E-2</v>
      </c>
    </row>
    <row r="131" spans="3:18" x14ac:dyDescent="0.3">
      <c r="C131" s="147">
        <v>44936</v>
      </c>
      <c r="E131" s="154">
        <v>4308.5</v>
      </c>
      <c r="F131" s="112">
        <f t="shared" si="133"/>
        <v>4.7690675248655001E-3</v>
      </c>
      <c r="G131" s="35"/>
      <c r="H131" s="149">
        <v>53.14</v>
      </c>
      <c r="I131" s="112">
        <f t="shared" si="133"/>
        <v>-5.0732404430153588E-2</v>
      </c>
      <c r="J131" s="35"/>
      <c r="K131" s="149">
        <v>160.29</v>
      </c>
      <c r="L131" s="143">
        <f t="shared" ref="L131" si="190">K131/K132-1</f>
        <v>-5.4001416430594973E-2</v>
      </c>
      <c r="M131" s="35"/>
      <c r="N131" s="149">
        <v>49.97</v>
      </c>
      <c r="O131" s="143">
        <f t="shared" si="131"/>
        <v>-5.6279508970727199E-2</v>
      </c>
      <c r="P131" s="35"/>
      <c r="Q131" s="149">
        <v>30.07</v>
      </c>
      <c r="R131" s="143">
        <f t="shared" ref="R131" si="191">Q131/Q132-1</f>
        <v>-4.7513462147608543E-2</v>
      </c>
    </row>
    <row r="132" spans="3:18" x14ac:dyDescent="0.3">
      <c r="C132" s="157" t="s">
        <v>232</v>
      </c>
      <c r="E132" s="154">
        <v>4288.05</v>
      </c>
      <c r="F132" s="112">
        <f t="shared" si="133"/>
        <v>-7.4096193108429409E-3</v>
      </c>
      <c r="G132" s="35"/>
      <c r="H132" s="149">
        <v>55.98</v>
      </c>
      <c r="I132" s="112">
        <f t="shared" si="133"/>
        <v>-2.8125000000000067E-2</v>
      </c>
      <c r="J132" s="35"/>
      <c r="K132" s="149">
        <v>169.44</v>
      </c>
      <c r="L132" s="143">
        <f t="shared" ref="L132" si="192">K132/K133-1</f>
        <v>-3.3262965710047387E-2</v>
      </c>
      <c r="M132" s="35"/>
      <c r="N132" s="149">
        <v>52.95</v>
      </c>
      <c r="O132" s="143">
        <f t="shared" si="131"/>
        <v>-2.8796771826852585E-2</v>
      </c>
      <c r="P132" s="35"/>
      <c r="Q132" s="149">
        <v>31.57</v>
      </c>
      <c r="R132" s="143">
        <f t="shared" ref="R132" si="193">Q132/Q133-1</f>
        <v>-4.6799516908212491E-2</v>
      </c>
    </row>
    <row r="133" spans="3:18" x14ac:dyDescent="0.3">
      <c r="C133" s="157" t="s">
        <v>233</v>
      </c>
      <c r="E133" s="154">
        <v>4320.0600000000004</v>
      </c>
      <c r="F133" s="112">
        <f t="shared" si="133"/>
        <v>-2.9269805317370334E-2</v>
      </c>
      <c r="G133" s="35"/>
      <c r="H133" s="149">
        <v>57.6</v>
      </c>
      <c r="I133" s="112">
        <f t="shared" si="133"/>
        <v>-5.8681394546081789E-3</v>
      </c>
      <c r="J133" s="35"/>
      <c r="K133" s="149">
        <v>175.27</v>
      </c>
      <c r="L133" s="143">
        <f t="shared" ref="L133" si="194">K133/K134-1</f>
        <v>-2.5411476868327343E-2</v>
      </c>
      <c r="M133" s="35"/>
      <c r="N133" s="149">
        <v>54.52</v>
      </c>
      <c r="O133" s="143">
        <f t="shared" si="131"/>
        <v>-2.8856430352689699E-2</v>
      </c>
      <c r="P133" s="35"/>
      <c r="Q133" s="149">
        <v>33.119999999999997</v>
      </c>
      <c r="R133" s="143">
        <f t="shared" ref="R133" si="195">Q133/Q134-1</f>
        <v>-5.4054054054053502E-3</v>
      </c>
    </row>
    <row r="134" spans="3:18" x14ac:dyDescent="0.3">
      <c r="C134" s="147">
        <v>45208</v>
      </c>
      <c r="E134" s="154">
        <v>4450.32</v>
      </c>
      <c r="F134" s="112">
        <f t="shared" si="133"/>
        <v>-1.6085285665251581E-3</v>
      </c>
      <c r="G134" s="35"/>
      <c r="H134" s="149">
        <v>57.94</v>
      </c>
      <c r="I134" s="112">
        <f t="shared" si="133"/>
        <v>-6.6860963483628133E-3</v>
      </c>
      <c r="J134" s="35"/>
      <c r="K134" s="149">
        <v>179.84</v>
      </c>
      <c r="L134" s="143">
        <f t="shared" ref="L134" si="196">K134/K135-1</f>
        <v>2.0253020933794774E-2</v>
      </c>
      <c r="M134" s="35"/>
      <c r="N134" s="149">
        <v>56.14</v>
      </c>
      <c r="O134" s="143">
        <f t="shared" si="131"/>
        <v>-4.0801844952988997E-3</v>
      </c>
      <c r="P134" s="35"/>
      <c r="Q134" s="149">
        <v>33.299999999999997</v>
      </c>
      <c r="R134" s="143">
        <f t="shared" ref="R134" si="197">Q134/Q135-1</f>
        <v>-1.7985611510792365E-3</v>
      </c>
    </row>
    <row r="135" spans="3:18" x14ac:dyDescent="0.3">
      <c r="C135" s="147">
        <v>44994</v>
      </c>
      <c r="E135" s="154">
        <v>4457.49</v>
      </c>
      <c r="F135" s="112">
        <f t="shared" si="133"/>
        <v>-1.290588316056851E-2</v>
      </c>
      <c r="G135" s="35"/>
      <c r="H135" s="149">
        <v>58.33</v>
      </c>
      <c r="I135" s="112">
        <f t="shared" si="133"/>
        <v>-1.6523351879952908E-2</v>
      </c>
      <c r="J135" s="35"/>
      <c r="K135" s="149">
        <v>176.27</v>
      </c>
      <c r="L135" s="143">
        <f t="shared" ref="L135" si="198">K135/K136-1</f>
        <v>5.4186630161989768E-3</v>
      </c>
      <c r="M135" s="35"/>
      <c r="N135" s="149">
        <v>56.37</v>
      </c>
      <c r="O135" s="143">
        <f t="shared" si="131"/>
        <v>-3.1830238726789917E-3</v>
      </c>
      <c r="P135" s="35"/>
      <c r="Q135" s="149">
        <v>33.36</v>
      </c>
      <c r="R135" s="143">
        <f t="shared" ref="R135" si="199">Q135/Q136-1</f>
        <v>-5.6631892697466268E-3</v>
      </c>
    </row>
    <row r="136" spans="3:18" x14ac:dyDescent="0.3">
      <c r="C136" s="157" t="s">
        <v>234</v>
      </c>
      <c r="E136" s="154">
        <v>4515.7700000000004</v>
      </c>
      <c r="F136" s="112">
        <f t="shared" si="133"/>
        <v>2.4981217556307778E-2</v>
      </c>
      <c r="G136" s="35"/>
      <c r="H136" s="149">
        <v>59.31</v>
      </c>
      <c r="I136" s="112">
        <f t="shared" si="133"/>
        <v>-1.7883755588673611E-2</v>
      </c>
      <c r="J136" s="35"/>
      <c r="K136" s="149">
        <v>175.32</v>
      </c>
      <c r="L136" s="143">
        <f t="shared" ref="L136" si="200">K136/K137-1</f>
        <v>-2.2851410099208547E-2</v>
      </c>
      <c r="M136" s="35"/>
      <c r="N136" s="149">
        <v>56.55</v>
      </c>
      <c r="O136" s="143">
        <f t="shared" si="131"/>
        <v>-1.3777467736309834E-2</v>
      </c>
      <c r="P136" s="35"/>
      <c r="Q136" s="149">
        <v>33.549999999999997</v>
      </c>
      <c r="R136" s="143">
        <f t="shared" ref="R136" si="201">Q136/Q137-1</f>
        <v>8.1129807692306155E-3</v>
      </c>
    </row>
    <row r="137" spans="3:18" x14ac:dyDescent="0.3">
      <c r="C137" s="157" t="s">
        <v>235</v>
      </c>
      <c r="E137" s="154">
        <v>4405.71</v>
      </c>
      <c r="F137" s="112">
        <f t="shared" si="133"/>
        <v>8.2385329918919226E-3</v>
      </c>
      <c r="G137" s="35"/>
      <c r="H137" s="149">
        <v>60.39</v>
      </c>
      <c r="I137" s="112">
        <f t="shared" si="133"/>
        <v>-9.187858900738366E-3</v>
      </c>
      <c r="J137" s="35"/>
      <c r="K137" s="149">
        <v>179.42</v>
      </c>
      <c r="L137" s="143">
        <f t="shared" ref="L137" si="202">K137/K138-1</f>
        <v>6.9592546862722315E-3</v>
      </c>
      <c r="M137" s="35"/>
      <c r="N137" s="149">
        <v>57.34</v>
      </c>
      <c r="O137" s="143">
        <f t="shared" si="131"/>
        <v>-3.4867503486746276E-4</v>
      </c>
      <c r="P137" s="35"/>
      <c r="Q137" s="149">
        <v>33.28</v>
      </c>
      <c r="R137" s="143">
        <f t="shared" ref="R137" si="203">Q137/Q138-1</f>
        <v>-1.3925925925925897E-2</v>
      </c>
    </row>
    <row r="138" spans="3:18" x14ac:dyDescent="0.3">
      <c r="C138" s="157" t="s">
        <v>236</v>
      </c>
      <c r="E138" s="154">
        <v>4369.71</v>
      </c>
      <c r="F138" s="112">
        <f t="shared" si="133"/>
        <v>-2.1133275836964227E-2</v>
      </c>
      <c r="G138" s="35"/>
      <c r="H138" s="149">
        <v>60.95</v>
      </c>
      <c r="I138" s="112">
        <f t="shared" si="133"/>
        <v>-3.5965342488147867E-3</v>
      </c>
      <c r="J138" s="35"/>
      <c r="K138" s="149">
        <v>178.18</v>
      </c>
      <c r="L138" s="143">
        <f t="shared" ref="L138" si="204">K138/K139-1</f>
        <v>-3.1840904151271388E-2</v>
      </c>
      <c r="M138" s="35"/>
      <c r="N138" s="149">
        <v>57.36</v>
      </c>
      <c r="O138" s="143">
        <f t="shared" si="131"/>
        <v>-1.4094190443451393E-2</v>
      </c>
      <c r="P138" s="35"/>
      <c r="Q138" s="149">
        <v>33.75</v>
      </c>
      <c r="R138" s="143">
        <f t="shared" ref="R138" si="205">Q138/Q139-1</f>
        <v>-1.4792899408283544E-3</v>
      </c>
    </row>
    <row r="139" spans="3:18" x14ac:dyDescent="0.3">
      <c r="C139" s="147">
        <v>45085</v>
      </c>
      <c r="E139" s="154">
        <v>4464.05</v>
      </c>
      <c r="F139" s="112">
        <f t="shared" si="133"/>
        <v>-3.1219085178079142E-3</v>
      </c>
      <c r="G139" s="35"/>
      <c r="H139" s="149">
        <v>61.17</v>
      </c>
      <c r="I139" s="112">
        <f t="shared" si="133"/>
        <v>7.5770054356778527E-3</v>
      </c>
      <c r="J139" s="35"/>
      <c r="K139" s="149">
        <v>184.04</v>
      </c>
      <c r="L139" s="143">
        <f t="shared" ref="L139" si="206">K139/K140-1</f>
        <v>-3.0335861321777458E-3</v>
      </c>
      <c r="M139" s="35"/>
      <c r="N139" s="149">
        <v>58.18</v>
      </c>
      <c r="O139" s="143">
        <f t="shared" si="131"/>
        <v>5.5706768281618579E-2</v>
      </c>
      <c r="P139" s="35"/>
      <c r="Q139" s="149">
        <v>33.799999999999997</v>
      </c>
      <c r="R139" s="143">
        <f t="shared" ref="R139" si="207">Q139/Q140-1</f>
        <v>5.9523809523809312E-3</v>
      </c>
    </row>
    <row r="140" spans="3:18" x14ac:dyDescent="0.3">
      <c r="C140" s="157" t="s">
        <v>237</v>
      </c>
      <c r="E140" s="154">
        <v>4478.03</v>
      </c>
      <c r="F140" s="112">
        <f t="shared" si="133"/>
        <v>-2.2740019597444872E-2</v>
      </c>
      <c r="G140" s="35"/>
      <c r="H140" s="149">
        <v>60.71</v>
      </c>
      <c r="I140" s="112">
        <f t="shared" si="133"/>
        <v>-2.8329065300896183E-2</v>
      </c>
      <c r="J140" s="35"/>
      <c r="K140" s="149">
        <v>184.6</v>
      </c>
      <c r="L140" s="143">
        <f t="shared" ref="L140" si="208">K140/K141-1</f>
        <v>-3.000367820923755E-2</v>
      </c>
      <c r="M140" s="35"/>
      <c r="N140" s="149">
        <v>55.11</v>
      </c>
      <c r="O140" s="143">
        <f t="shared" si="131"/>
        <v>-5.2278589853826274E-2</v>
      </c>
      <c r="P140" s="35"/>
      <c r="Q140" s="149">
        <v>33.6</v>
      </c>
      <c r="R140" s="143">
        <f t="shared" ref="R140" si="209">Q140/Q141-1</f>
        <v>-9.4339622641509413E-3</v>
      </c>
    </row>
    <row r="141" spans="3:18" x14ac:dyDescent="0.3">
      <c r="C141" s="157" t="s">
        <v>238</v>
      </c>
      <c r="E141" s="154">
        <v>4582.2299999999996</v>
      </c>
      <c r="F141" s="112">
        <f t="shared" si="133"/>
        <v>1.0116084773187151E-2</v>
      </c>
      <c r="G141" s="35"/>
      <c r="H141" s="149">
        <v>62.48</v>
      </c>
      <c r="I141" s="112">
        <f t="shared" si="133"/>
        <v>6.4061499039080871E-4</v>
      </c>
      <c r="J141" s="35"/>
      <c r="K141" s="149">
        <v>190.31</v>
      </c>
      <c r="L141" s="143">
        <f t="shared" ref="L141" si="210">K141/K142-1</f>
        <v>7.8880942364323303E-4</v>
      </c>
      <c r="M141" s="35"/>
      <c r="N141" s="149">
        <v>58.15</v>
      </c>
      <c r="O141" s="143">
        <f t="shared" si="131"/>
        <v>8.6058519793463795E-4</v>
      </c>
      <c r="P141" s="35"/>
      <c r="Q141" s="149">
        <v>33.92</v>
      </c>
      <c r="R141" s="143">
        <f t="shared" ref="R141" si="211">Q141/Q142-1</f>
        <v>4.1129527317372627E-2</v>
      </c>
    </row>
    <row r="142" spans="3:18" x14ac:dyDescent="0.3">
      <c r="C142" s="157" t="s">
        <v>239</v>
      </c>
      <c r="E142" s="154">
        <v>4536.34</v>
      </c>
      <c r="F142" s="112">
        <f t="shared" si="133"/>
        <v>6.8628451953425262E-3</v>
      </c>
      <c r="G142" s="35"/>
      <c r="H142" s="149">
        <v>62.44</v>
      </c>
      <c r="I142" s="112">
        <f t="shared" si="133"/>
        <v>2.5287356321838983E-2</v>
      </c>
      <c r="J142" s="35"/>
      <c r="K142" s="149">
        <v>190.16</v>
      </c>
      <c r="L142" s="143">
        <f t="shared" ref="L142" si="212">K142/K143-1</f>
        <v>1.0360767228096313E-2</v>
      </c>
      <c r="M142" s="35"/>
      <c r="N142" s="149">
        <v>58.1</v>
      </c>
      <c r="O142" s="143">
        <f t="shared" si="131"/>
        <v>1.3784679811551293E-2</v>
      </c>
      <c r="P142" s="35"/>
      <c r="Q142" s="149">
        <v>32.58</v>
      </c>
      <c r="R142" s="143">
        <f t="shared" ref="R142" si="213">Q142/Q143-1</f>
        <v>2.9058749210360002E-2</v>
      </c>
    </row>
    <row r="143" spans="3:18" x14ac:dyDescent="0.3">
      <c r="C143" s="147">
        <v>45176</v>
      </c>
      <c r="E143" s="154">
        <v>4505.42</v>
      </c>
      <c r="F143" s="112">
        <f t="shared" si="133"/>
        <v>2.4203503108696456E-2</v>
      </c>
      <c r="G143" s="35"/>
      <c r="H143" s="149">
        <v>60.9</v>
      </c>
      <c r="I143" s="112">
        <f t="shared" si="133"/>
        <v>1.9076305220883549E-2</v>
      </c>
      <c r="J143" s="35"/>
      <c r="K143" s="149">
        <v>188.21</v>
      </c>
      <c r="L143" s="143">
        <f t="shared" ref="L143" si="214">K143/K144-1</f>
        <v>2.8020537469958473E-2</v>
      </c>
      <c r="M143" s="35"/>
      <c r="N143" s="149">
        <v>57.31</v>
      </c>
      <c r="O143" s="143">
        <f t="shared" si="131"/>
        <v>2.5774118489350295E-2</v>
      </c>
      <c r="P143" s="35"/>
      <c r="Q143" s="149">
        <v>31.66</v>
      </c>
      <c r="R143" s="143">
        <f t="shared" ref="R143" si="215">Q143/Q144-1</f>
        <v>-3.1486146095718315E-3</v>
      </c>
    </row>
    <row r="144" spans="3:18" x14ac:dyDescent="0.3">
      <c r="C144" s="147">
        <v>44964</v>
      </c>
      <c r="E144" s="154">
        <v>4398.95</v>
      </c>
      <c r="F144" s="112">
        <f t="shared" si="133"/>
        <v>-1.1556316539261924E-2</v>
      </c>
      <c r="G144" s="35"/>
      <c r="H144" s="149">
        <v>59.76</v>
      </c>
      <c r="I144" s="112">
        <f t="shared" si="133"/>
        <v>-7.6386582530720837E-3</v>
      </c>
      <c r="J144" s="35"/>
      <c r="K144" s="149">
        <v>183.08</v>
      </c>
      <c r="L144" s="143">
        <f t="shared" ref="L144" si="216">K144/K145-1</f>
        <v>-1.1553827880358414E-2</v>
      </c>
      <c r="M144" s="35"/>
      <c r="N144" s="149">
        <v>55.87</v>
      </c>
      <c r="O144" s="143">
        <f t="shared" si="131"/>
        <v>-2.733286908077992E-2</v>
      </c>
      <c r="P144" s="35"/>
      <c r="Q144" s="149">
        <v>31.76</v>
      </c>
      <c r="R144" s="143">
        <f t="shared" ref="R144" si="217">Q144/Q145-1</f>
        <v>1.5669971218420287E-2</v>
      </c>
    </row>
    <row r="145" spans="3:18" x14ac:dyDescent="0.3">
      <c r="C145" s="157" t="s">
        <v>240</v>
      </c>
      <c r="E145" s="154">
        <v>4450.38</v>
      </c>
      <c r="F145" s="112">
        <f t="shared" si="133"/>
        <v>2.3468779968401687E-2</v>
      </c>
      <c r="G145" s="35"/>
      <c r="H145" s="149">
        <v>60.22</v>
      </c>
      <c r="I145" s="112">
        <f t="shared" si="133"/>
        <v>-1.6013071895424891E-2</v>
      </c>
      <c r="J145" s="35"/>
      <c r="K145" s="149">
        <v>185.22</v>
      </c>
      <c r="L145" s="143">
        <f t="shared" ref="L145" si="218">K145/K146-1</f>
        <v>-4.5681732681248644E-3</v>
      </c>
      <c r="M145" s="35"/>
      <c r="N145" s="149">
        <v>57.44</v>
      </c>
      <c r="O145" s="143">
        <f t="shared" si="131"/>
        <v>-2.8252410759600721E-2</v>
      </c>
      <c r="P145" s="35"/>
      <c r="Q145" s="149">
        <v>31.27</v>
      </c>
      <c r="R145" s="143">
        <f t="shared" ref="R145" si="219">Q145/Q146-1</f>
        <v>2.8864656831302238E-3</v>
      </c>
    </row>
    <row r="146" spans="3:18" x14ac:dyDescent="0.3">
      <c r="C146" s="157" t="s">
        <v>241</v>
      </c>
      <c r="E146" s="154">
        <v>4348.33</v>
      </c>
      <c r="F146" s="112">
        <f t="shared" si="133"/>
        <v>-1.389244805072587E-2</v>
      </c>
      <c r="G146" s="35"/>
      <c r="H146" s="149">
        <v>61.2</v>
      </c>
      <c r="I146" s="112">
        <f t="shared" si="133"/>
        <v>-7.6212096643424321E-3</v>
      </c>
      <c r="J146" s="35"/>
      <c r="K146" s="149">
        <v>186.07</v>
      </c>
      <c r="L146" s="143">
        <f t="shared" ref="L146" si="220">K146/K147-1</f>
        <v>1.6125564394764424E-4</v>
      </c>
      <c r="M146" s="35"/>
      <c r="N146" s="149">
        <v>59.11</v>
      </c>
      <c r="O146" s="143">
        <f t="shared" si="131"/>
        <v>1.1291702309666363E-2</v>
      </c>
      <c r="P146" s="35"/>
      <c r="Q146" s="149">
        <v>31.18</v>
      </c>
      <c r="R146" s="143">
        <f t="shared" ref="R146" si="221">Q146/Q147-1</f>
        <v>-3.077401305564198E-2</v>
      </c>
    </row>
    <row r="147" spans="3:18" x14ac:dyDescent="0.3">
      <c r="C147" s="147">
        <v>45236</v>
      </c>
      <c r="E147" s="154">
        <v>4409.59</v>
      </c>
      <c r="F147" s="112">
        <f t="shared" si="133"/>
        <v>2.5757991653601264E-2</v>
      </c>
      <c r="G147" s="35"/>
      <c r="H147" s="149">
        <v>61.67</v>
      </c>
      <c r="I147" s="112">
        <f t="shared" si="133"/>
        <v>1.9844551017033307E-2</v>
      </c>
      <c r="J147" s="35"/>
      <c r="K147" s="149">
        <v>186.04</v>
      </c>
      <c r="L147" s="143">
        <f t="shared" ref="L147" si="222">K147/K148-1</f>
        <v>2.0235810255004205E-2</v>
      </c>
      <c r="M147" s="35"/>
      <c r="N147" s="149">
        <v>58.45</v>
      </c>
      <c r="O147" s="143">
        <f t="shared" si="131"/>
        <v>2.0960698689956425E-2</v>
      </c>
      <c r="P147" s="35"/>
      <c r="Q147" s="149">
        <v>32.17</v>
      </c>
      <c r="R147" s="143">
        <f t="shared" ref="R147" si="223">Q147/Q148-1</f>
        <v>2.7467262855317864E-2</v>
      </c>
    </row>
    <row r="148" spans="3:18" x14ac:dyDescent="0.3">
      <c r="C148" s="147">
        <v>45022</v>
      </c>
      <c r="E148" s="154">
        <v>4298.8599999999997</v>
      </c>
      <c r="F148" s="112">
        <f t="shared" si="133"/>
        <v>3.8506714739734438E-3</v>
      </c>
      <c r="G148" s="35"/>
      <c r="H148" s="149">
        <v>60.47</v>
      </c>
      <c r="I148" s="112">
        <f t="shared" si="133"/>
        <v>-1.1281883584041807E-2</v>
      </c>
      <c r="J148" s="35"/>
      <c r="K148" s="149">
        <v>182.35</v>
      </c>
      <c r="L148" s="143">
        <f t="shared" ref="L148" si="224">K148/K149-1</f>
        <v>-9.2904487667065938E-3</v>
      </c>
      <c r="M148" s="35"/>
      <c r="N148" s="149">
        <v>57.25</v>
      </c>
      <c r="O148" s="143">
        <f t="shared" si="131"/>
        <v>-3.7491593813046342E-2</v>
      </c>
      <c r="P148" s="35"/>
      <c r="Q148" s="149">
        <v>31.31</v>
      </c>
      <c r="R148" s="143">
        <f t="shared" ref="R148" si="225">Q148/Q149-1</f>
        <v>-4.4515103338632622E-3</v>
      </c>
    </row>
    <row r="149" spans="3:18" x14ac:dyDescent="0.3">
      <c r="C149" s="157" t="s">
        <v>242</v>
      </c>
      <c r="E149" s="154">
        <v>4282.37</v>
      </c>
      <c r="F149" s="112">
        <f t="shared" si="133"/>
        <v>1.8290551546207956E-2</v>
      </c>
      <c r="G149" s="35"/>
      <c r="H149" s="149">
        <v>61.16</v>
      </c>
      <c r="I149" s="112">
        <f t="shared" si="133"/>
        <v>1.4935280451377375E-2</v>
      </c>
      <c r="J149" s="35"/>
      <c r="K149" s="149">
        <v>184.06</v>
      </c>
      <c r="L149" s="143">
        <f t="shared" ref="L149" si="226">K149/K150-1</f>
        <v>2.6146639067436972E-3</v>
      </c>
      <c r="M149" s="35"/>
      <c r="N149" s="149">
        <v>59.48</v>
      </c>
      <c r="O149" s="143">
        <f t="shared" si="131"/>
        <v>3.2459642423190438E-2</v>
      </c>
      <c r="P149" s="35"/>
      <c r="Q149" s="149">
        <v>31.45</v>
      </c>
      <c r="R149" s="143">
        <f t="shared" ref="R149" si="227">Q149/Q150-1</f>
        <v>1.2734797835083356E-3</v>
      </c>
    </row>
    <row r="150" spans="3:18" x14ac:dyDescent="0.3">
      <c r="C150" s="157" t="s">
        <v>243</v>
      </c>
      <c r="E150" s="154">
        <v>4205.45</v>
      </c>
      <c r="F150" s="112">
        <f t="shared" si="133"/>
        <v>3.2132786893068754E-3</v>
      </c>
      <c r="G150" s="35"/>
      <c r="H150" s="149">
        <v>60.26</v>
      </c>
      <c r="I150" s="112">
        <f t="shared" si="133"/>
        <v>-4.0904026738818988E-2</v>
      </c>
      <c r="J150" s="35"/>
      <c r="K150" s="149">
        <v>183.58</v>
      </c>
      <c r="L150" s="143">
        <f t="shared" ref="L150" si="228">K150/K151-1</f>
        <v>-4.3056713928273482E-2</v>
      </c>
      <c r="M150" s="35"/>
      <c r="N150" s="149">
        <v>57.61</v>
      </c>
      <c r="O150" s="143">
        <f t="shared" si="131"/>
        <v>-3.4684986595174272E-2</v>
      </c>
      <c r="P150" s="35"/>
      <c r="Q150" s="149">
        <v>31.41</v>
      </c>
      <c r="R150" s="143">
        <f t="shared" ref="R150" si="229">Q150/Q151-1</f>
        <v>-1.3195098963242113E-2</v>
      </c>
    </row>
    <row r="151" spans="3:18" x14ac:dyDescent="0.3">
      <c r="C151" s="157" t="s">
        <v>244</v>
      </c>
      <c r="E151" s="154">
        <v>4191.9799999999996</v>
      </c>
      <c r="F151" s="112">
        <f t="shared" si="133"/>
        <v>1.6464278093538454E-2</v>
      </c>
      <c r="G151" s="35"/>
      <c r="H151" s="149">
        <v>62.83</v>
      </c>
      <c r="I151" s="112">
        <f t="shared" si="133"/>
        <v>-1.9965683980658233E-2</v>
      </c>
      <c r="J151" s="35"/>
      <c r="K151" s="149">
        <v>191.84</v>
      </c>
      <c r="L151" s="143">
        <f t="shared" ref="L151" si="230">K151/K152-1</f>
        <v>-2.1823373444829652E-2</v>
      </c>
      <c r="M151" s="35"/>
      <c r="N151" s="149">
        <v>59.68</v>
      </c>
      <c r="O151" s="143">
        <f t="shared" si="131"/>
        <v>2.3513604299629787E-3</v>
      </c>
      <c r="P151" s="35"/>
      <c r="Q151" s="149">
        <v>31.83</v>
      </c>
      <c r="R151" s="143">
        <f t="shared" ref="R151" si="231">Q151/Q152-1</f>
        <v>-2.5711662075298514E-2</v>
      </c>
    </row>
    <row r="152" spans="3:18" x14ac:dyDescent="0.3">
      <c r="C152" s="147">
        <v>45112</v>
      </c>
      <c r="E152" s="154">
        <v>4124.08</v>
      </c>
      <c r="F152" s="112">
        <f t="shared" si="133"/>
        <v>-2.9422786340284057E-3</v>
      </c>
      <c r="G152" s="35"/>
      <c r="H152" s="149">
        <v>64.11</v>
      </c>
      <c r="I152" s="112">
        <f t="shared" si="133"/>
        <v>1.405810684161235E-3</v>
      </c>
      <c r="J152" s="35"/>
      <c r="K152" s="149">
        <v>196.12</v>
      </c>
      <c r="L152" s="143">
        <f t="shared" ref="L152" si="232">K152/K153-1</f>
        <v>9.5228290523496906E-3</v>
      </c>
      <c r="M152" s="35"/>
      <c r="N152" s="149">
        <v>59.54</v>
      </c>
      <c r="O152" s="143">
        <f t="shared" si="131"/>
        <v>-2.8470942890638229E-3</v>
      </c>
      <c r="P152" s="35"/>
      <c r="Q152" s="149">
        <v>32.67</v>
      </c>
      <c r="R152" s="143">
        <f t="shared" ref="R152" si="233">Q152/Q153-1</f>
        <v>-1.6852241950044977E-2</v>
      </c>
    </row>
    <row r="153" spans="3:18" x14ac:dyDescent="0.3">
      <c r="C153" s="157" t="s">
        <v>245</v>
      </c>
      <c r="E153" s="154">
        <v>4136.25</v>
      </c>
      <c r="F153" s="112">
        <f t="shared" si="133"/>
        <v>-7.9698187783607821E-3</v>
      </c>
      <c r="G153" s="35"/>
      <c r="H153" s="149">
        <v>64.02</v>
      </c>
      <c r="I153" s="112">
        <f t="shared" si="133"/>
        <v>-2.0265003897117495E-3</v>
      </c>
      <c r="J153" s="35"/>
      <c r="K153" s="149">
        <v>194.27</v>
      </c>
      <c r="L153" s="143">
        <f t="shared" ref="L153" si="234">K153/K154-1</f>
        <v>1.7706532558017907E-2</v>
      </c>
      <c r="M153" s="35"/>
      <c r="N153" s="149">
        <v>59.71</v>
      </c>
      <c r="O153" s="143">
        <f t="shared" si="131"/>
        <v>6.624999999999992E-2</v>
      </c>
      <c r="P153" s="35"/>
      <c r="Q153" s="149">
        <v>33.229999999999997</v>
      </c>
      <c r="R153" s="143">
        <f t="shared" ref="R153" si="235">Q153/Q154-1</f>
        <v>1.6207951070336124E-2</v>
      </c>
    </row>
    <row r="154" spans="3:18" x14ac:dyDescent="0.3">
      <c r="C154" s="157" t="s">
        <v>246</v>
      </c>
      <c r="E154" s="154">
        <v>4169.4799999999996</v>
      </c>
      <c r="F154" s="112">
        <f t="shared" si="133"/>
        <v>8.6996071145171161E-3</v>
      </c>
      <c r="G154" s="35"/>
      <c r="H154" s="149">
        <v>64.150000000000006</v>
      </c>
      <c r="I154" s="112">
        <f t="shared" si="133"/>
        <v>1.5612802498050637E-3</v>
      </c>
      <c r="J154" s="35"/>
      <c r="K154" s="149">
        <v>190.89</v>
      </c>
      <c r="L154" s="143">
        <f t="shared" ref="L154" si="236">K154/K155-1</f>
        <v>2.9556118871689741E-2</v>
      </c>
      <c r="M154" s="35"/>
      <c r="N154" s="149">
        <v>56</v>
      </c>
      <c r="O154" s="143">
        <f t="shared" si="131"/>
        <v>5.5210099868098661E-2</v>
      </c>
      <c r="P154" s="35"/>
      <c r="Q154" s="149">
        <v>32.700000000000003</v>
      </c>
      <c r="R154" s="143">
        <f t="shared" ref="R154" si="237">Q154/Q155-1</f>
        <v>-7.3916737468139315E-2</v>
      </c>
    </row>
    <row r="155" spans="3:18" x14ac:dyDescent="0.3">
      <c r="C155" s="157" t="s">
        <v>247</v>
      </c>
      <c r="E155" s="154">
        <v>4133.5200000000004</v>
      </c>
      <c r="F155" s="112">
        <f t="shared" si="133"/>
        <v>-9.9573670014785343E-4</v>
      </c>
      <c r="G155" s="35"/>
      <c r="H155" s="149">
        <v>64.05</v>
      </c>
      <c r="I155" s="112">
        <f t="shared" si="133"/>
        <v>1.5860428231562196E-2</v>
      </c>
      <c r="J155" s="35"/>
      <c r="K155" s="149">
        <v>185.41</v>
      </c>
      <c r="L155" s="143">
        <f t="shared" ref="L155" si="238">K155/K156-1</f>
        <v>1.0353659201133514E-2</v>
      </c>
      <c r="M155" s="35"/>
      <c r="N155" s="149">
        <v>53.07</v>
      </c>
      <c r="O155" s="143">
        <f t="shared" si="131"/>
        <v>9.7031963470319837E-3</v>
      </c>
      <c r="P155" s="35"/>
      <c r="Q155" s="149">
        <v>35.31</v>
      </c>
      <c r="R155" s="143">
        <f t="shared" ref="R155" si="239">Q155/Q156-1</f>
        <v>5.9829059829059617E-3</v>
      </c>
    </row>
    <row r="156" spans="3:18" x14ac:dyDescent="0.3">
      <c r="C156" s="147">
        <v>45173</v>
      </c>
      <c r="E156" s="154">
        <v>4137.6400000000003</v>
      </c>
      <c r="F156" s="112">
        <f t="shared" si="133"/>
        <v>7.9463681053928426E-3</v>
      </c>
      <c r="G156" s="35"/>
      <c r="H156" s="149">
        <v>63.05</v>
      </c>
      <c r="I156" s="112">
        <f t="shared" si="133"/>
        <v>3.3418204964990039E-3</v>
      </c>
      <c r="J156" s="35"/>
      <c r="K156" s="149">
        <v>183.51</v>
      </c>
      <c r="L156" s="143">
        <f t="shared" ref="L156" si="240">K156/K157-1</f>
        <v>-4.6105445866783112E-3</v>
      </c>
      <c r="M156" s="35"/>
      <c r="N156" s="149">
        <v>52.56</v>
      </c>
      <c r="O156" s="143">
        <f t="shared" si="131"/>
        <v>0</v>
      </c>
      <c r="P156" s="35"/>
      <c r="Q156" s="149">
        <v>35.1</v>
      </c>
      <c r="R156" s="143">
        <f t="shared" ref="R156" si="241">Q156/Q157-1</f>
        <v>-1.5151515151515138E-2</v>
      </c>
    </row>
    <row r="157" spans="3:18" x14ac:dyDescent="0.3">
      <c r="C157" s="147">
        <v>44961</v>
      </c>
      <c r="E157" s="154">
        <v>4105.0200000000004</v>
      </c>
      <c r="F157" s="112">
        <f t="shared" si="133"/>
        <v>-1.0439708856231356E-3</v>
      </c>
      <c r="G157" s="35"/>
      <c r="H157" s="149">
        <v>62.84</v>
      </c>
      <c r="I157" s="112">
        <f t="shared" si="133"/>
        <v>1.3058197646300229E-2</v>
      </c>
      <c r="J157" s="35"/>
      <c r="K157" s="149">
        <v>184.36</v>
      </c>
      <c r="L157" s="143">
        <f t="shared" ref="L157" si="242">K157/K158-1</f>
        <v>1.1300054854635144E-2</v>
      </c>
      <c r="M157" s="35"/>
      <c r="N157" s="149">
        <v>52.56</v>
      </c>
      <c r="O157" s="143">
        <f t="shared" si="131"/>
        <v>-2.6846880207368917E-2</v>
      </c>
      <c r="P157" s="35"/>
      <c r="Q157" s="149">
        <v>35.64</v>
      </c>
      <c r="R157" s="143">
        <f t="shared" ref="R157" si="243">Q157/Q158-1</f>
        <v>1.0204081632652962E-2</v>
      </c>
    </row>
    <row r="158" spans="3:18" x14ac:dyDescent="0.3">
      <c r="C158" s="157" t="s">
        <v>248</v>
      </c>
      <c r="E158" s="154">
        <v>4109.3100000000004</v>
      </c>
      <c r="F158" s="112">
        <f t="shared" si="133"/>
        <v>3.4832623602678581E-2</v>
      </c>
      <c r="G158" s="35"/>
      <c r="H158" s="149">
        <v>62.03</v>
      </c>
      <c r="I158" s="112">
        <f t="shared" si="133"/>
        <v>1.8555008210180635E-2</v>
      </c>
      <c r="J158" s="35"/>
      <c r="K158" s="149">
        <v>182.3</v>
      </c>
      <c r="L158" s="143">
        <f t="shared" ref="L158" si="244">K158/K159-1</f>
        <v>1.7923948852532234E-2</v>
      </c>
      <c r="M158" s="35"/>
      <c r="N158" s="149">
        <v>54.01</v>
      </c>
      <c r="O158" s="143">
        <f t="shared" si="131"/>
        <v>3.7855495772482595E-2</v>
      </c>
      <c r="P158" s="35"/>
      <c r="Q158" s="149">
        <v>35.28</v>
      </c>
      <c r="R158" s="143">
        <f t="shared" ref="R158" si="245">Q158/Q159-1</f>
        <v>1.1757958130198087E-2</v>
      </c>
    </row>
    <row r="159" spans="3:18" x14ac:dyDescent="0.3">
      <c r="C159" s="157" t="s">
        <v>249</v>
      </c>
      <c r="E159" s="154">
        <v>3970.99</v>
      </c>
      <c r="F159" s="112">
        <f t="shared" si="133"/>
        <v>1.3876690224273736E-2</v>
      </c>
      <c r="G159" s="35"/>
      <c r="H159" s="149">
        <v>60.9</v>
      </c>
      <c r="I159" s="112">
        <f t="shared" si="133"/>
        <v>1.4661779406864195E-2</v>
      </c>
      <c r="J159" s="35"/>
      <c r="K159" s="149">
        <v>179.09</v>
      </c>
      <c r="L159" s="143">
        <f t="shared" ref="L159" si="246">K159/K160-1</f>
        <v>2.2611774110660621E-2</v>
      </c>
      <c r="M159" s="35"/>
      <c r="N159" s="149">
        <v>52.04</v>
      </c>
      <c r="O159" s="143">
        <f t="shared" si="131"/>
        <v>1.0681685764226012E-2</v>
      </c>
      <c r="P159" s="35"/>
      <c r="Q159" s="149">
        <v>34.869999999999997</v>
      </c>
      <c r="R159" s="143">
        <f t="shared" ref="R159" si="247">Q159/Q160-1</f>
        <v>2.868617326448053E-4</v>
      </c>
    </row>
    <row r="160" spans="3:18" x14ac:dyDescent="0.3">
      <c r="C160" s="147">
        <v>45263</v>
      </c>
      <c r="E160" s="154">
        <v>3916.64</v>
      </c>
      <c r="F160" s="112">
        <f t="shared" si="133"/>
        <v>1.4255785829153211E-2</v>
      </c>
      <c r="G160" s="35"/>
      <c r="H160" s="149">
        <v>60.02</v>
      </c>
      <c r="I160" s="112">
        <f t="shared" si="133"/>
        <v>1.3680121601080897E-2</v>
      </c>
      <c r="J160" s="35"/>
      <c r="K160" s="149">
        <v>175.13</v>
      </c>
      <c r="L160" s="143">
        <f t="shared" ref="L160" si="248">K160/K161-1</f>
        <v>1.8020112771028218E-2</v>
      </c>
      <c r="M160" s="35"/>
      <c r="N160" s="149">
        <v>51.49</v>
      </c>
      <c r="O160" s="143">
        <f t="shared" si="131"/>
        <v>2.8154952076677286E-2</v>
      </c>
      <c r="P160" s="35"/>
      <c r="Q160" s="149">
        <v>34.86</v>
      </c>
      <c r="R160" s="143">
        <f t="shared" ref="R160" si="249">Q160/Q161-1</f>
        <v>1.5734265734265618E-2</v>
      </c>
    </row>
    <row r="161" spans="3:18" x14ac:dyDescent="0.3">
      <c r="C161" s="147">
        <v>45049</v>
      </c>
      <c r="E161" s="154">
        <v>3861.59</v>
      </c>
      <c r="F161" s="112">
        <f t="shared" si="133"/>
        <v>-4.5493420076922253E-2</v>
      </c>
      <c r="G161" s="35"/>
      <c r="H161" s="149">
        <v>59.21</v>
      </c>
      <c r="I161" s="112">
        <f t="shared" si="133"/>
        <v>-3.8694481830416905E-3</v>
      </c>
      <c r="J161" s="35"/>
      <c r="K161" s="149">
        <v>172.03</v>
      </c>
      <c r="L161" s="143">
        <f t="shared" ref="L161" si="250">K161/K162-1</f>
        <v>-6.4683800173260808E-3</v>
      </c>
      <c r="M161" s="35"/>
      <c r="N161" s="149">
        <v>50.08</v>
      </c>
      <c r="O161" s="143">
        <f t="shared" si="131"/>
        <v>-1.8231719270731195E-2</v>
      </c>
      <c r="P161" s="35"/>
      <c r="Q161" s="149">
        <v>34.32</v>
      </c>
      <c r="R161" s="143">
        <f t="shared" ref="R161" si="251">Q161/Q162-1</f>
        <v>-6.6570188133139307E-3</v>
      </c>
    </row>
    <row r="162" spans="3:18" x14ac:dyDescent="0.3">
      <c r="C162" s="157" t="s">
        <v>250</v>
      </c>
      <c r="E162" s="154">
        <v>4045.64</v>
      </c>
      <c r="F162" s="112">
        <f t="shared" si="133"/>
        <v>1.9042629293407609E-2</v>
      </c>
      <c r="G162" s="35"/>
      <c r="H162" s="149">
        <v>59.44</v>
      </c>
      <c r="I162" s="112">
        <f t="shared" si="133"/>
        <v>-6.6844919786097634E-3</v>
      </c>
      <c r="J162" s="35"/>
      <c r="K162" s="149">
        <v>173.15</v>
      </c>
      <c r="L162" s="143">
        <f t="shared" ref="L162" si="252">K162/K163-1</f>
        <v>-1.5969538531484417E-2</v>
      </c>
      <c r="M162" s="35"/>
      <c r="N162" s="149">
        <v>51.01</v>
      </c>
      <c r="O162" s="143">
        <f t="shared" si="131"/>
        <v>7.7044646384827331E-3</v>
      </c>
      <c r="P162" s="35"/>
      <c r="Q162" s="149">
        <v>34.549999999999997</v>
      </c>
      <c r="R162" s="143">
        <f t="shared" ref="R162" si="253">Q162/Q163-1</f>
        <v>-3.4646549315451303E-2</v>
      </c>
    </row>
    <row r="163" spans="3:18" x14ac:dyDescent="0.3">
      <c r="C163" s="157" t="s">
        <v>251</v>
      </c>
      <c r="E163" s="154">
        <v>3970.04</v>
      </c>
      <c r="F163" s="112">
        <f t="shared" si="133"/>
        <v>-2.6733903885425514E-2</v>
      </c>
      <c r="G163" s="35"/>
      <c r="H163" s="149">
        <v>59.84</v>
      </c>
      <c r="I163" s="112">
        <f t="shared" si="133"/>
        <v>-4.6573519627410853E-3</v>
      </c>
      <c r="J163" s="35"/>
      <c r="K163" s="149">
        <v>175.96</v>
      </c>
      <c r="L163" s="143">
        <f t="shared" ref="L163" si="254">K163/K164-1</f>
        <v>-1.8152938506920124E-3</v>
      </c>
      <c r="M163" s="35"/>
      <c r="N163" s="149">
        <v>50.62</v>
      </c>
      <c r="O163" s="143">
        <f t="shared" si="131"/>
        <v>-2.8220387790362955E-2</v>
      </c>
      <c r="P163" s="35"/>
      <c r="Q163" s="149">
        <v>35.79</v>
      </c>
      <c r="R163" s="143">
        <f t="shared" ref="R163" si="255">Q163/Q164-1</f>
        <v>3.364171572750152E-3</v>
      </c>
    </row>
    <row r="164" spans="3:18" x14ac:dyDescent="0.3">
      <c r="C164" s="147">
        <v>45262</v>
      </c>
      <c r="E164" s="154">
        <v>4079.09</v>
      </c>
      <c r="F164" s="112">
        <f t="shared" si="133"/>
        <v>-2.7796384758682624E-3</v>
      </c>
      <c r="G164" s="35"/>
      <c r="H164" s="149">
        <v>60.12</v>
      </c>
      <c r="I164" s="112">
        <f t="shared" si="133"/>
        <v>8.3864475008386119E-3</v>
      </c>
      <c r="J164" s="35"/>
      <c r="K164" s="149">
        <v>176.28</v>
      </c>
      <c r="L164" s="143">
        <f t="shared" ref="L164" si="256">K164/K165-1</f>
        <v>4.54029511918419E-4</v>
      </c>
      <c r="M164" s="35"/>
      <c r="N164" s="149">
        <v>52.09</v>
      </c>
      <c r="O164" s="143">
        <f t="shared" si="131"/>
        <v>1.3424124513618851E-2</v>
      </c>
      <c r="P164" s="35"/>
      <c r="Q164" s="149">
        <v>35.67</v>
      </c>
      <c r="R164" s="143">
        <f t="shared" ref="R164" si="257">Q164/Q165-1</f>
        <v>1.1054421768707412E-2</v>
      </c>
    </row>
    <row r="165" spans="3:18" x14ac:dyDescent="0.3">
      <c r="C165" s="147">
        <v>45048</v>
      </c>
      <c r="E165" s="154">
        <v>4090.46</v>
      </c>
      <c r="F165" s="112">
        <f t="shared" si="133"/>
        <v>-1.1125401307391702E-2</v>
      </c>
      <c r="G165" s="35"/>
      <c r="H165" s="149">
        <v>59.62</v>
      </c>
      <c r="I165" s="112">
        <f t="shared" si="133"/>
        <v>-3.5099448437239111E-3</v>
      </c>
      <c r="J165" s="35"/>
      <c r="K165" s="149">
        <v>176.2</v>
      </c>
      <c r="L165" s="143">
        <f t="shared" ref="L165" si="258">K165/K166-1</f>
        <v>4.1863765373699069E-2</v>
      </c>
      <c r="M165" s="35"/>
      <c r="N165" s="149">
        <v>51.4</v>
      </c>
      <c r="O165" s="143">
        <f t="shared" si="131"/>
        <v>9.8231827111985304E-3</v>
      </c>
      <c r="P165" s="35"/>
      <c r="Q165" s="149">
        <v>35.28</v>
      </c>
      <c r="R165" s="143">
        <f t="shared" ref="R165" si="259">Q165/Q166-1</f>
        <v>3.6984352773827833E-3</v>
      </c>
    </row>
    <row r="166" spans="3:18" x14ac:dyDescent="0.3">
      <c r="C166" s="157" t="s">
        <v>252</v>
      </c>
      <c r="E166" s="154">
        <v>4136.4799999999996</v>
      </c>
      <c r="F166" s="112">
        <f t="shared" si="133"/>
        <v>1.6194331983805599E-2</v>
      </c>
      <c r="G166" s="35"/>
      <c r="H166" s="149">
        <v>59.83</v>
      </c>
      <c r="I166" s="112">
        <f t="shared" si="133"/>
        <v>-1.0910894362704648E-2</v>
      </c>
      <c r="J166" s="35"/>
      <c r="K166" s="149">
        <v>169.12</v>
      </c>
      <c r="L166" s="143">
        <f t="shared" ref="L166" si="260">K166/K167-1</f>
        <v>-2.9477655936800407E-3</v>
      </c>
      <c r="M166" s="35"/>
      <c r="N166" s="149">
        <v>50.9</v>
      </c>
      <c r="O166" s="143">
        <f t="shared" ref="O166:O229" si="261">N166/N167-1</f>
        <v>-9.7276264591439343E-3</v>
      </c>
      <c r="P166" s="35"/>
      <c r="Q166" s="149">
        <v>35.15</v>
      </c>
      <c r="R166" s="143">
        <f t="shared" ref="R166" si="262">Q166/Q167-1</f>
        <v>1.2968299711815456E-2</v>
      </c>
    </row>
    <row r="167" spans="3:18" x14ac:dyDescent="0.3">
      <c r="C167" s="157" t="s">
        <v>253</v>
      </c>
      <c r="E167" s="154">
        <v>4070.56</v>
      </c>
      <c r="F167" s="112">
        <f t="shared" ref="F167:I230" si="263">E167/E168-1</f>
        <v>2.4656334248768452E-2</v>
      </c>
      <c r="G167" s="35"/>
      <c r="H167" s="149">
        <v>60.49</v>
      </c>
      <c r="I167" s="112">
        <f t="shared" si="263"/>
        <v>6.8242343541944361E-3</v>
      </c>
      <c r="J167" s="35"/>
      <c r="K167" s="149">
        <v>169.62</v>
      </c>
      <c r="L167" s="143">
        <f t="shared" ref="L167" si="264">K167/K168-1</f>
        <v>-1.5304921120790071E-3</v>
      </c>
      <c r="M167" s="35"/>
      <c r="N167" s="149">
        <v>51.4</v>
      </c>
      <c r="O167" s="143">
        <f t="shared" si="261"/>
        <v>2.8000000000000025E-2</v>
      </c>
      <c r="P167" s="35"/>
      <c r="Q167" s="149">
        <v>34.700000000000003</v>
      </c>
      <c r="R167" s="143">
        <f t="shared" ref="R167" si="265">Q167/Q168-1</f>
        <v>-2.8810141169688386E-4</v>
      </c>
    </row>
    <row r="168" spans="3:18" x14ac:dyDescent="0.3">
      <c r="C168" s="157" t="s">
        <v>254</v>
      </c>
      <c r="E168" s="154">
        <v>3972.61</v>
      </c>
      <c r="F168" s="112">
        <f t="shared" si="263"/>
        <v>-6.6215063927043127E-3</v>
      </c>
      <c r="G168" s="35"/>
      <c r="H168" s="149">
        <v>60.08</v>
      </c>
      <c r="I168" s="112">
        <f t="shared" si="263"/>
        <v>-2.1976233110857946E-2</v>
      </c>
      <c r="J168" s="35"/>
      <c r="K168" s="149">
        <v>169.88</v>
      </c>
      <c r="L168" s="143">
        <f t="shared" ref="L168" si="266">K168/K169-1</f>
        <v>-3.0586624058434264E-2</v>
      </c>
      <c r="M168" s="35"/>
      <c r="N168" s="149">
        <v>50</v>
      </c>
      <c r="O168" s="143">
        <f t="shared" si="261"/>
        <v>-2.0376175548589281E-2</v>
      </c>
      <c r="P168" s="35"/>
      <c r="Q168" s="149">
        <v>34.71</v>
      </c>
      <c r="R168" s="143">
        <f t="shared" ref="R168" si="267">Q168/Q169-1</f>
        <v>-2.7458671896889775E-2</v>
      </c>
    </row>
    <row r="169" spans="3:18" x14ac:dyDescent="0.3">
      <c r="C169" s="147">
        <v>45139</v>
      </c>
      <c r="E169" s="154">
        <v>3999.09</v>
      </c>
      <c r="F169" s="112">
        <f t="shared" si="263"/>
        <v>2.6702917526726155E-2</v>
      </c>
      <c r="G169" s="35"/>
      <c r="H169" s="149">
        <v>61.43</v>
      </c>
      <c r="I169" s="112">
        <f t="shared" si="263"/>
        <v>-3.1072555205047259E-2</v>
      </c>
      <c r="J169" s="35"/>
      <c r="K169" s="149">
        <v>175.24</v>
      </c>
      <c r="L169" s="143">
        <f t="shared" ref="L169" si="268">K169/K170-1</f>
        <v>-3.2357813362782872E-2</v>
      </c>
      <c r="M169" s="35"/>
      <c r="N169" s="149">
        <v>51.04</v>
      </c>
      <c r="O169" s="143">
        <f t="shared" si="261"/>
        <v>-3.5142522452167313E-3</v>
      </c>
      <c r="P169" s="35"/>
      <c r="Q169" s="149">
        <v>35.69</v>
      </c>
      <c r="R169" s="143">
        <f t="shared" ref="R169" si="269">Q169/Q170-1</f>
        <v>-1.5719801434087133E-2</v>
      </c>
    </row>
    <row r="170" spans="3:18" x14ac:dyDescent="0.3">
      <c r="C170" s="147">
        <v>44927</v>
      </c>
      <c r="E170" s="154">
        <v>3895.08</v>
      </c>
      <c r="F170" s="112">
        <f t="shared" si="263"/>
        <v>1.447584320875106E-2</v>
      </c>
      <c r="G170" s="35"/>
      <c r="H170" s="149">
        <v>63.4</v>
      </c>
      <c r="I170" s="112">
        <f t="shared" si="263"/>
        <v>-3.3013677094796412E-3</v>
      </c>
      <c r="J170" s="35"/>
      <c r="K170" s="149">
        <v>181.1</v>
      </c>
      <c r="L170" s="143">
        <f t="shared" ref="L170" si="270">K170/K171-1</f>
        <v>2.4355142256171636E-3</v>
      </c>
      <c r="M170" s="35"/>
      <c r="N170" s="149">
        <v>51.22</v>
      </c>
      <c r="O170" s="143">
        <f t="shared" si="261"/>
        <v>9.0622537431048755E-3</v>
      </c>
      <c r="P170" s="35"/>
      <c r="Q170" s="149">
        <v>36.26</v>
      </c>
      <c r="R170" s="143">
        <f t="shared" ref="R170" si="271">Q170/Q171-1</f>
        <v>1.6825574873808202E-2</v>
      </c>
    </row>
    <row r="171" spans="3:18" x14ac:dyDescent="0.3">
      <c r="C171" s="157" t="s">
        <v>255</v>
      </c>
      <c r="E171" s="154">
        <v>3839.5</v>
      </c>
      <c r="F171" s="112">
        <f t="shared" si="263"/>
        <v>-1.3836798601755129E-3</v>
      </c>
      <c r="G171" s="35"/>
      <c r="H171" s="149">
        <v>63.61</v>
      </c>
      <c r="I171" s="112">
        <f t="shared" si="263"/>
        <v>-3.2905045440301262E-3</v>
      </c>
      <c r="J171" s="35"/>
      <c r="K171" s="149">
        <v>180.66</v>
      </c>
      <c r="L171" s="143">
        <f t="shared" ref="L171" si="272">K171/K172-1</f>
        <v>-8.7786678371556404E-3</v>
      </c>
      <c r="M171" s="35"/>
      <c r="N171" s="149">
        <v>50.76</v>
      </c>
      <c r="O171" s="143">
        <f t="shared" si="261"/>
        <v>2.5676476397391568E-3</v>
      </c>
      <c r="P171" s="35"/>
      <c r="Q171" s="149">
        <v>35.659999999999997</v>
      </c>
      <c r="R171" s="143">
        <f t="shared" ref="R171" si="273">Q171/Q172-1</f>
        <v>-1.9521583722848512E-2</v>
      </c>
    </row>
    <row r="172" spans="3:18" x14ac:dyDescent="0.3">
      <c r="C172" s="157" t="s">
        <v>256</v>
      </c>
      <c r="E172" s="154">
        <v>3844.82</v>
      </c>
      <c r="F172" s="112">
        <f t="shared" si="263"/>
        <v>-1.9572417946401854E-3</v>
      </c>
      <c r="G172" s="35"/>
      <c r="H172" s="149">
        <v>63.82</v>
      </c>
      <c r="I172" s="112">
        <f t="shared" si="263"/>
        <v>1.7051792828685297E-2</v>
      </c>
      <c r="J172" s="35"/>
      <c r="K172" s="149">
        <v>182.26</v>
      </c>
      <c r="L172" s="143">
        <f t="shared" ref="L172" si="274">K172/K173-1</f>
        <v>1.0646556504380511E-2</v>
      </c>
      <c r="M172" s="35"/>
      <c r="N172" s="149">
        <v>50.63</v>
      </c>
      <c r="O172" s="143">
        <f t="shared" si="261"/>
        <v>4.7628497717802087E-3</v>
      </c>
      <c r="P172" s="35"/>
      <c r="Q172" s="149">
        <v>36.369999999999997</v>
      </c>
      <c r="R172" s="143">
        <f t="shared" ref="R172" si="275">Q172/Q173-1</f>
        <v>8.3171610756860304E-3</v>
      </c>
    </row>
    <row r="173" spans="3:18" x14ac:dyDescent="0.3">
      <c r="C173" s="147">
        <v>44877</v>
      </c>
      <c r="E173" s="154">
        <v>3852.36</v>
      </c>
      <c r="F173" s="112">
        <f t="shared" si="263"/>
        <v>-2.0846994952190667E-2</v>
      </c>
      <c r="G173" s="35"/>
      <c r="H173" s="149">
        <v>62.75</v>
      </c>
      <c r="I173" s="112">
        <f t="shared" si="263"/>
        <v>-6.1767500791891639E-3</v>
      </c>
      <c r="J173" s="35"/>
      <c r="K173" s="149">
        <v>180.34</v>
      </c>
      <c r="L173" s="143">
        <f t="shared" ref="L173" si="276">K173/K174-1</f>
        <v>-1.5073730202075364E-2</v>
      </c>
      <c r="M173" s="35"/>
      <c r="N173" s="149">
        <v>50.39</v>
      </c>
      <c r="O173" s="143">
        <f t="shared" si="261"/>
        <v>7.3970411835264649E-3</v>
      </c>
      <c r="P173" s="35"/>
      <c r="Q173" s="149">
        <v>36.07</v>
      </c>
      <c r="R173" s="143">
        <f t="shared" ref="R173" si="277">Q173/Q174-1</f>
        <v>-4.9037701028209812E-2</v>
      </c>
    </row>
    <row r="174" spans="3:18" x14ac:dyDescent="0.3">
      <c r="C174" s="147">
        <v>44663</v>
      </c>
      <c r="E174" s="154">
        <v>3934.38</v>
      </c>
      <c r="F174" s="112">
        <f t="shared" si="263"/>
        <v>-3.3725470933516632E-2</v>
      </c>
      <c r="G174" s="35"/>
      <c r="H174" s="149">
        <v>63.14</v>
      </c>
      <c r="I174" s="112">
        <f t="shared" si="263"/>
        <v>-1.8803418803418737E-2</v>
      </c>
      <c r="J174" s="35"/>
      <c r="K174" s="149">
        <v>183.1</v>
      </c>
      <c r="L174" s="143">
        <f t="shared" ref="L174" si="278">K174/K175-1</f>
        <v>-1.3947977812483137E-2</v>
      </c>
      <c r="M174" s="35"/>
      <c r="N174" s="149">
        <v>50.02</v>
      </c>
      <c r="O174" s="143">
        <f t="shared" si="261"/>
        <v>-3.8446751249519462E-2</v>
      </c>
      <c r="P174" s="35"/>
      <c r="Q174" s="149">
        <v>37.93</v>
      </c>
      <c r="R174" s="143">
        <f t="shared" ref="R174" si="279">Q174/Q175-1</f>
        <v>-2.0908621579762587E-2</v>
      </c>
    </row>
    <row r="175" spans="3:18" x14ac:dyDescent="0.3">
      <c r="C175" s="157" t="s">
        <v>257</v>
      </c>
      <c r="E175" s="154">
        <v>4071.7</v>
      </c>
      <c r="F175" s="112">
        <f t="shared" si="263"/>
        <v>1.1321073390758274E-2</v>
      </c>
      <c r="G175" s="35"/>
      <c r="H175" s="149">
        <v>64.349999999999994</v>
      </c>
      <c r="I175" s="112">
        <f t="shared" si="263"/>
        <v>2.6479502312968473E-2</v>
      </c>
      <c r="J175" s="35"/>
      <c r="K175" s="149">
        <v>185.69</v>
      </c>
      <c r="L175" s="143">
        <f t="shared" ref="L175" si="280">K175/K176-1</f>
        <v>8.5818260822334569E-3</v>
      </c>
      <c r="M175" s="35"/>
      <c r="N175" s="149">
        <v>52.02</v>
      </c>
      <c r="O175" s="143">
        <f t="shared" si="261"/>
        <v>6.384213580963527E-3</v>
      </c>
      <c r="P175" s="35"/>
      <c r="Q175" s="149">
        <v>38.74</v>
      </c>
      <c r="R175" s="143">
        <f t="shared" ref="R175" si="281">Q175/Q176-1</f>
        <v>1.2810457516339913E-2</v>
      </c>
    </row>
    <row r="176" spans="3:18" x14ac:dyDescent="0.3">
      <c r="C176" s="157" t="s">
        <v>258</v>
      </c>
      <c r="E176" s="154">
        <v>4026.12</v>
      </c>
      <c r="F176" s="112">
        <f t="shared" si="263"/>
        <v>1.5327815521493759E-2</v>
      </c>
      <c r="G176" s="35"/>
      <c r="H176" s="149">
        <v>62.69</v>
      </c>
      <c r="I176" s="112">
        <f t="shared" si="263"/>
        <v>2.5351651946352582E-2</v>
      </c>
      <c r="J176" s="35"/>
      <c r="K176" s="149">
        <v>184.11</v>
      </c>
      <c r="L176" s="143">
        <f t="shared" ref="L176" si="282">K176/K177-1</f>
        <v>1.533116417581204E-2</v>
      </c>
      <c r="M176" s="35"/>
      <c r="N176" s="149">
        <v>51.69</v>
      </c>
      <c r="O176" s="143">
        <f t="shared" si="261"/>
        <v>3.6910732196589802E-2</v>
      </c>
      <c r="P176" s="35"/>
      <c r="Q176" s="149">
        <v>38.25</v>
      </c>
      <c r="R176" s="143">
        <f t="shared" ref="R176" si="283">Q176/Q177-1</f>
        <v>2.2180652057723016E-2</v>
      </c>
    </row>
    <row r="177" spans="3:18" x14ac:dyDescent="0.3">
      <c r="C177" s="157" t="s">
        <v>259</v>
      </c>
      <c r="E177" s="154">
        <v>3965.34</v>
      </c>
      <c r="F177" s="112">
        <f t="shared" si="263"/>
        <v>-6.9097129175818006E-3</v>
      </c>
      <c r="G177" s="35"/>
      <c r="H177" s="149">
        <v>61.14</v>
      </c>
      <c r="I177" s="112">
        <f t="shared" si="263"/>
        <v>-2.9354207436399493E-3</v>
      </c>
      <c r="J177" s="35"/>
      <c r="K177" s="149">
        <v>181.33</v>
      </c>
      <c r="L177" s="143">
        <f t="shared" ref="L177" si="284">K177/K178-1</f>
        <v>1.8421791631564099E-2</v>
      </c>
      <c r="M177" s="35"/>
      <c r="N177" s="149">
        <v>49.85</v>
      </c>
      <c r="O177" s="143">
        <f t="shared" si="261"/>
        <v>1.6102731349368016E-2</v>
      </c>
      <c r="P177" s="35"/>
      <c r="Q177" s="149">
        <v>37.42</v>
      </c>
      <c r="R177" s="143">
        <f t="shared" ref="R177" si="285">Q177/Q178-1</f>
        <v>2.1424745581146709E-3</v>
      </c>
    </row>
    <row r="178" spans="3:18" x14ac:dyDescent="0.3">
      <c r="C178" s="147">
        <v>44723</v>
      </c>
      <c r="E178" s="154">
        <v>3992.93</v>
      </c>
      <c r="F178" s="112">
        <f t="shared" si="263"/>
        <v>5.8978133163596791E-2</v>
      </c>
      <c r="G178" s="35"/>
      <c r="H178" s="149">
        <v>61.32</v>
      </c>
      <c r="I178" s="112">
        <f t="shared" si="263"/>
        <v>3.4762065474181592E-2</v>
      </c>
      <c r="J178" s="35"/>
      <c r="K178" s="149">
        <v>178.05</v>
      </c>
      <c r="L178" s="143">
        <f t="shared" ref="L178" si="286">K178/K179-1</f>
        <v>-4.0832307864413497E-3</v>
      </c>
      <c r="M178" s="35"/>
      <c r="N178" s="149">
        <v>49.06</v>
      </c>
      <c r="O178" s="143">
        <f t="shared" si="261"/>
        <v>1.8378599142332419E-3</v>
      </c>
      <c r="P178" s="35"/>
      <c r="Q178" s="149">
        <v>37.340000000000003</v>
      </c>
      <c r="R178" s="143">
        <f t="shared" ref="R178" si="287">Q178/Q179-1</f>
        <v>9.7349918875069275E-3</v>
      </c>
    </row>
    <row r="179" spans="3:18" x14ac:dyDescent="0.3">
      <c r="C179" s="157" t="s">
        <v>260</v>
      </c>
      <c r="E179" s="154">
        <v>3770.55</v>
      </c>
      <c r="F179" s="112">
        <f t="shared" si="263"/>
        <v>-3.3455009664040025E-2</v>
      </c>
      <c r="G179" s="35"/>
      <c r="H179" s="149">
        <v>59.26</v>
      </c>
      <c r="I179" s="112">
        <f t="shared" si="263"/>
        <v>-2.4687294272547677E-2</v>
      </c>
      <c r="J179" s="35"/>
      <c r="K179" s="149">
        <v>178.78</v>
      </c>
      <c r="L179" s="143">
        <f t="shared" ref="L179" si="288">K179/K180-1</f>
        <v>-1.8932118751028848E-2</v>
      </c>
      <c r="M179" s="35"/>
      <c r="N179" s="149">
        <v>48.97</v>
      </c>
      <c r="O179" s="143">
        <f t="shared" si="261"/>
        <v>4.7038700021381219E-2</v>
      </c>
      <c r="P179" s="35"/>
      <c r="Q179" s="149">
        <v>36.979999999999997</v>
      </c>
      <c r="R179" s="143">
        <f t="shared" ref="R179" si="289">Q179/Q180-1</f>
        <v>-6.4981036662452585E-2</v>
      </c>
    </row>
    <row r="180" spans="3:18" x14ac:dyDescent="0.3">
      <c r="C180" s="157" t="s">
        <v>261</v>
      </c>
      <c r="E180" s="154">
        <v>3901.06</v>
      </c>
      <c r="F180" s="112">
        <f t="shared" si="263"/>
        <v>3.9520351742055704E-2</v>
      </c>
      <c r="G180" s="35"/>
      <c r="H180" s="149">
        <v>60.76</v>
      </c>
      <c r="I180" s="112">
        <f t="shared" si="263"/>
        <v>8.5775553967119222E-2</v>
      </c>
      <c r="J180" s="35"/>
      <c r="K180" s="149">
        <v>182.23</v>
      </c>
      <c r="L180" s="143">
        <f t="shared" ref="L180" si="290">K180/K181-1</f>
        <v>5.298740321275841E-2</v>
      </c>
      <c r="M180" s="35"/>
      <c r="N180" s="149">
        <v>46.77</v>
      </c>
      <c r="O180" s="143">
        <f t="shared" si="261"/>
        <v>6.8052066681890899E-2</v>
      </c>
      <c r="P180" s="35"/>
      <c r="Q180" s="149">
        <v>39.549999999999997</v>
      </c>
      <c r="R180" s="143">
        <f t="shared" ref="R180" si="291">Q180/Q181-1</f>
        <v>5.1302498670919627E-2</v>
      </c>
    </row>
    <row r="181" spans="3:18" x14ac:dyDescent="0.3">
      <c r="C181" s="157" t="s">
        <v>262</v>
      </c>
      <c r="E181" s="154">
        <v>3752.75</v>
      </c>
      <c r="F181" s="112">
        <f t="shared" si="263"/>
        <v>4.7356038257695188E-2</v>
      </c>
      <c r="G181" s="35"/>
      <c r="H181" s="149">
        <v>55.96</v>
      </c>
      <c r="I181" s="112">
        <f t="shared" si="263"/>
        <v>1.7824663514005135E-2</v>
      </c>
      <c r="J181" s="35"/>
      <c r="K181" s="149">
        <v>173.06</v>
      </c>
      <c r="L181" s="143">
        <f t="shared" ref="L181" si="292">K181/K182-1</f>
        <v>1.6863505493859732E-2</v>
      </c>
      <c r="M181" s="35"/>
      <c r="N181" s="149">
        <v>43.79</v>
      </c>
      <c r="O181" s="143">
        <f t="shared" si="261"/>
        <v>2.0594965675055921E-3</v>
      </c>
      <c r="P181" s="35"/>
      <c r="Q181" s="149">
        <v>37.619999999999997</v>
      </c>
      <c r="R181" s="143">
        <f t="shared" ref="R181" si="293">Q181/Q182-1</f>
        <v>7.7685507634610573E-3</v>
      </c>
    </row>
    <row r="182" spans="3:18" x14ac:dyDescent="0.3">
      <c r="C182" s="147">
        <v>44814</v>
      </c>
      <c r="E182" s="154">
        <v>3583.07</v>
      </c>
      <c r="F182" s="112">
        <f t="shared" si="263"/>
        <v>-1.554815559695133E-2</v>
      </c>
      <c r="G182" s="35"/>
      <c r="H182" s="149">
        <v>54.98</v>
      </c>
      <c r="I182" s="112">
        <f t="shared" si="263"/>
        <v>8.6222711429095877E-3</v>
      </c>
      <c r="J182" s="35"/>
      <c r="K182" s="149">
        <v>170.19</v>
      </c>
      <c r="L182" s="143">
        <f t="shared" ref="L182" si="294">K182/K183-1</f>
        <v>5.3090774085762016E-2</v>
      </c>
      <c r="M182" s="35"/>
      <c r="N182" s="149">
        <v>43.7</v>
      </c>
      <c r="O182" s="143">
        <f t="shared" si="261"/>
        <v>-3.2115171650055285E-2</v>
      </c>
      <c r="P182" s="35"/>
      <c r="Q182" s="149">
        <v>37.33</v>
      </c>
      <c r="R182" s="143">
        <f t="shared" ref="R182" si="295">Q182/Q183-1</f>
        <v>2.2739726027397156E-2</v>
      </c>
    </row>
    <row r="183" spans="3:18" x14ac:dyDescent="0.3">
      <c r="C183" s="147">
        <v>44602</v>
      </c>
      <c r="E183" s="154">
        <v>3639.66</v>
      </c>
      <c r="F183" s="112">
        <f t="shared" si="263"/>
        <v>1.5071312632124911E-2</v>
      </c>
      <c r="G183" s="35"/>
      <c r="H183" s="149">
        <v>54.51</v>
      </c>
      <c r="I183" s="112">
        <f t="shared" si="263"/>
        <v>-2.6954659050339225E-2</v>
      </c>
      <c r="J183" s="35"/>
      <c r="K183" s="149">
        <v>161.61000000000001</v>
      </c>
      <c r="L183" s="143">
        <f t="shared" ref="L183" si="296">K183/K184-1</f>
        <v>-1.010657846379992E-2</v>
      </c>
      <c r="M183" s="35"/>
      <c r="N183" s="149">
        <v>45.15</v>
      </c>
      <c r="O183" s="143">
        <f t="shared" si="261"/>
        <v>3.8408463661453673E-2</v>
      </c>
      <c r="P183" s="35"/>
      <c r="Q183" s="149">
        <v>36.5</v>
      </c>
      <c r="R183" s="143">
        <f t="shared" ref="R183" si="297">Q183/Q184-1</f>
        <v>1.8983807928531604E-2</v>
      </c>
    </row>
    <row r="184" spans="3:18" x14ac:dyDescent="0.3">
      <c r="C184" s="157" t="s">
        <v>263</v>
      </c>
      <c r="E184" s="154">
        <v>3585.62</v>
      </c>
      <c r="F184" s="112">
        <f t="shared" si="263"/>
        <v>-2.9137096796029494E-2</v>
      </c>
      <c r="G184" s="35"/>
      <c r="H184" s="149">
        <v>56.02</v>
      </c>
      <c r="I184" s="112">
        <f t="shared" si="263"/>
        <v>-4.4027303754266223E-2</v>
      </c>
      <c r="J184" s="35"/>
      <c r="K184" s="149">
        <v>163.26</v>
      </c>
      <c r="L184" s="143">
        <f t="shared" ref="L184" si="298">K184/K185-1</f>
        <v>-3.1212912413956961E-2</v>
      </c>
      <c r="M184" s="35"/>
      <c r="N184" s="149">
        <v>43.48</v>
      </c>
      <c r="O184" s="143">
        <f t="shared" si="261"/>
        <v>-1.3780431786862835E-3</v>
      </c>
      <c r="P184" s="35"/>
      <c r="Q184" s="149">
        <v>35.82</v>
      </c>
      <c r="R184" s="143">
        <f t="shared" ref="R184" si="299">Q184/Q185-1</f>
        <v>-3.398058252427183E-2</v>
      </c>
    </row>
    <row r="185" spans="3:18" x14ac:dyDescent="0.3">
      <c r="C185" s="157" t="s">
        <v>264</v>
      </c>
      <c r="E185" s="154">
        <v>3693.23</v>
      </c>
      <c r="F185" s="112">
        <f t="shared" si="263"/>
        <v>-4.6497458259430524E-2</v>
      </c>
      <c r="G185" s="35"/>
      <c r="H185" s="149">
        <v>58.6</v>
      </c>
      <c r="I185" s="112">
        <f t="shared" si="263"/>
        <v>-1.5787705744037539E-2</v>
      </c>
      <c r="J185" s="35"/>
      <c r="K185" s="149">
        <v>168.52</v>
      </c>
      <c r="L185" s="143">
        <f t="shared" ref="L185" si="300">K185/K186-1</f>
        <v>9.2831047493562302E-3</v>
      </c>
      <c r="M185" s="35"/>
      <c r="N185" s="149">
        <v>43.54</v>
      </c>
      <c r="O185" s="143">
        <f t="shared" si="261"/>
        <v>-1.8340210912425325E-3</v>
      </c>
      <c r="P185" s="35"/>
      <c r="Q185" s="149">
        <v>37.08</v>
      </c>
      <c r="R185" s="143">
        <f t="shared" ref="R185" si="301">Q185/Q186-1</f>
        <v>-2.4213075060534051E-3</v>
      </c>
    </row>
    <row r="186" spans="3:18" x14ac:dyDescent="0.3">
      <c r="C186" s="147">
        <v>44874</v>
      </c>
      <c r="E186" s="154">
        <v>3873.33</v>
      </c>
      <c r="F186" s="112">
        <f t="shared" si="263"/>
        <v>-4.7704161913378784E-2</v>
      </c>
      <c r="G186" s="35"/>
      <c r="H186" s="149">
        <v>59.54</v>
      </c>
      <c r="I186" s="112">
        <f t="shared" si="263"/>
        <v>-4.4608472400513466E-2</v>
      </c>
      <c r="J186" s="35"/>
      <c r="K186" s="149">
        <v>166.97</v>
      </c>
      <c r="L186" s="143">
        <f t="shared" ref="L186" si="302">K186/K187-1</f>
        <v>-3.6081283916406859E-2</v>
      </c>
      <c r="M186" s="35"/>
      <c r="N186" s="149">
        <v>43.62</v>
      </c>
      <c r="O186" s="143">
        <f t="shared" si="261"/>
        <v>-5.625270445694508E-2</v>
      </c>
      <c r="P186" s="35"/>
      <c r="Q186" s="149">
        <v>37.17</v>
      </c>
      <c r="R186" s="143">
        <f t="shared" ref="R186" si="303">Q186/Q187-1</f>
        <v>-3.9286637373998401E-2</v>
      </c>
    </row>
    <row r="187" spans="3:18" x14ac:dyDescent="0.3">
      <c r="C187" s="147">
        <v>44660</v>
      </c>
      <c r="E187" s="154">
        <v>4067.36</v>
      </c>
      <c r="F187" s="112">
        <f t="shared" si="263"/>
        <v>3.646547374536846E-2</v>
      </c>
      <c r="G187" s="35"/>
      <c r="H187" s="149">
        <v>62.32</v>
      </c>
      <c r="I187" s="112">
        <f t="shared" si="263"/>
        <v>1.9133278822567545E-2</v>
      </c>
      <c r="J187" s="35"/>
      <c r="K187" s="149">
        <v>173.22</v>
      </c>
      <c r="L187" s="143">
        <f t="shared" ref="L187" si="304">K187/K188-1</f>
        <v>1.5000585960389001E-2</v>
      </c>
      <c r="M187" s="35"/>
      <c r="N187" s="149">
        <v>46.22</v>
      </c>
      <c r="O187" s="143">
        <f t="shared" si="261"/>
        <v>4.5937995021498201E-2</v>
      </c>
      <c r="P187" s="35"/>
      <c r="Q187" s="149">
        <v>38.69</v>
      </c>
      <c r="R187" s="143">
        <f t="shared" ref="R187" si="305">Q187/Q188-1</f>
        <v>2.2733280465239147E-2</v>
      </c>
    </row>
    <row r="188" spans="3:18" x14ac:dyDescent="0.3">
      <c r="C188" s="157" t="s">
        <v>265</v>
      </c>
      <c r="E188" s="154">
        <v>3924.26</v>
      </c>
      <c r="F188" s="112">
        <f t="shared" si="263"/>
        <v>-3.2876091146128439E-2</v>
      </c>
      <c r="G188" s="35"/>
      <c r="H188" s="149">
        <v>61.15</v>
      </c>
      <c r="I188" s="112">
        <f t="shared" si="263"/>
        <v>-3.1056884804309903E-2</v>
      </c>
      <c r="J188" s="35"/>
      <c r="K188" s="149">
        <v>170.66</v>
      </c>
      <c r="L188" s="143">
        <f t="shared" ref="L188" si="306">K188/K189-1</f>
        <v>-2.5022851919561218E-2</v>
      </c>
      <c r="M188" s="35"/>
      <c r="N188" s="149">
        <v>44.19</v>
      </c>
      <c r="O188" s="143">
        <f t="shared" si="261"/>
        <v>-8.7483176312247446E-3</v>
      </c>
      <c r="P188" s="35"/>
      <c r="Q188" s="149">
        <v>37.83</v>
      </c>
      <c r="R188" s="143">
        <f t="shared" ref="R188" si="307">Q188/Q189-1</f>
        <v>-2.0455722423614708E-2</v>
      </c>
    </row>
    <row r="189" spans="3:18" x14ac:dyDescent="0.3">
      <c r="C189" s="157" t="s">
        <v>266</v>
      </c>
      <c r="E189" s="154">
        <v>4057.66</v>
      </c>
      <c r="F189" s="112">
        <f t="shared" si="263"/>
        <v>-4.0397495080974677E-2</v>
      </c>
      <c r="G189" s="35"/>
      <c r="H189" s="149">
        <v>63.11</v>
      </c>
      <c r="I189" s="112">
        <f t="shared" si="263"/>
        <v>-3.1609636335737323E-2</v>
      </c>
      <c r="J189" s="35"/>
      <c r="K189" s="149">
        <v>175.04</v>
      </c>
      <c r="L189" s="143">
        <f t="shared" ref="L189" si="308">K189/K190-1</f>
        <v>-2.8473108730643237E-2</v>
      </c>
      <c r="M189" s="35"/>
      <c r="N189" s="149">
        <v>44.58</v>
      </c>
      <c r="O189" s="143">
        <f t="shared" si="261"/>
        <v>-1.5676749834400594E-2</v>
      </c>
      <c r="P189" s="35"/>
      <c r="Q189" s="149">
        <v>38.619999999999997</v>
      </c>
      <c r="R189" s="143">
        <f t="shared" ref="R189" si="309">Q189/Q190-1</f>
        <v>-3.353353353353361E-2</v>
      </c>
    </row>
    <row r="190" spans="3:18" x14ac:dyDescent="0.3">
      <c r="C190" s="157" t="s">
        <v>267</v>
      </c>
      <c r="E190" s="154">
        <v>4228.4799999999996</v>
      </c>
      <c r="F190" s="112">
        <f t="shared" si="263"/>
        <v>-1.2072006822190784E-2</v>
      </c>
      <c r="G190" s="35"/>
      <c r="H190" s="149">
        <v>65.17</v>
      </c>
      <c r="I190" s="112">
        <f t="shared" si="263"/>
        <v>2.3076923076922995E-2</v>
      </c>
      <c r="J190" s="35"/>
      <c r="K190" s="149">
        <v>180.17</v>
      </c>
      <c r="L190" s="143">
        <f t="shared" ref="L190" si="310">K190/K191-1</f>
        <v>1.6015338634184806E-2</v>
      </c>
      <c r="M190" s="35"/>
      <c r="N190" s="149">
        <v>45.29</v>
      </c>
      <c r="O190" s="143">
        <f t="shared" si="261"/>
        <v>6.2208398133747345E-3</v>
      </c>
      <c r="P190" s="35"/>
      <c r="Q190" s="149">
        <v>39.96</v>
      </c>
      <c r="R190" s="143">
        <f t="shared" ref="R190" si="311">Q190/Q191-1</f>
        <v>1.6793893129771087E-2</v>
      </c>
    </row>
    <row r="191" spans="3:18" x14ac:dyDescent="0.3">
      <c r="C191" s="147">
        <v>44750</v>
      </c>
      <c r="E191" s="154">
        <v>4280.1499999999996</v>
      </c>
      <c r="F191" s="112">
        <f t="shared" si="263"/>
        <v>3.2558218079267842E-2</v>
      </c>
      <c r="G191" s="35"/>
      <c r="H191" s="149">
        <v>63.7</v>
      </c>
      <c r="I191" s="112">
        <f t="shared" si="263"/>
        <v>5.0489113284948317E-3</v>
      </c>
      <c r="J191" s="35"/>
      <c r="K191" s="149">
        <v>177.33</v>
      </c>
      <c r="L191" s="143">
        <f t="shared" ref="L191" si="312">K191/K192-1</f>
        <v>1.5926668576339065E-2</v>
      </c>
      <c r="M191" s="35"/>
      <c r="N191" s="149">
        <v>45.01</v>
      </c>
      <c r="O191" s="143">
        <f t="shared" si="261"/>
        <v>-1.4882906544101515E-2</v>
      </c>
      <c r="P191" s="35"/>
      <c r="Q191" s="149">
        <v>39.299999999999997</v>
      </c>
      <c r="R191" s="143">
        <f t="shared" ref="R191" si="313">Q191/Q192-1</f>
        <v>1.4979338842975087E-2</v>
      </c>
    </row>
    <row r="192" spans="3:18" x14ac:dyDescent="0.3">
      <c r="C192" s="157" t="s">
        <v>268</v>
      </c>
      <c r="E192" s="154">
        <v>4145.1899999999996</v>
      </c>
      <c r="F192" s="112">
        <f t="shared" si="263"/>
        <v>3.6074948732411904E-3</v>
      </c>
      <c r="G192" s="35"/>
      <c r="H192" s="149">
        <v>63.38</v>
      </c>
      <c r="I192" s="112">
        <f t="shared" si="263"/>
        <v>-1.2311048776686873E-2</v>
      </c>
      <c r="J192" s="35"/>
      <c r="K192" s="149">
        <v>174.55</v>
      </c>
      <c r="L192" s="143">
        <f t="shared" ref="L192" si="314">K192/K193-1</f>
        <v>-2.3433927754915596E-3</v>
      </c>
      <c r="M192" s="35"/>
      <c r="N192" s="149">
        <v>45.69</v>
      </c>
      <c r="O192" s="143">
        <f t="shared" si="261"/>
        <v>-8.2714314394699895E-2</v>
      </c>
      <c r="P192" s="35"/>
      <c r="Q192" s="149">
        <v>38.72</v>
      </c>
      <c r="R192" s="143">
        <f t="shared" ref="R192" si="315">Q192/Q193-1</f>
        <v>-5.1626226122880592E-4</v>
      </c>
    </row>
    <row r="193" spans="3:18" x14ac:dyDescent="0.3">
      <c r="C193" s="157" t="s">
        <v>269</v>
      </c>
      <c r="E193" s="154">
        <v>4130.29</v>
      </c>
      <c r="F193" s="112">
        <f t="shared" si="263"/>
        <v>4.2573385197506974E-2</v>
      </c>
      <c r="G193" s="35"/>
      <c r="H193" s="149">
        <v>64.17</v>
      </c>
      <c r="I193" s="112">
        <f t="shared" si="263"/>
        <v>4.1889917194349646E-2</v>
      </c>
      <c r="J193" s="35"/>
      <c r="K193" s="149">
        <v>174.96</v>
      </c>
      <c r="L193" s="143">
        <f t="shared" ref="L193" si="316">K193/K194-1</f>
        <v>3.1542951476917658E-2</v>
      </c>
      <c r="M193" s="35"/>
      <c r="N193" s="149">
        <v>49.81</v>
      </c>
      <c r="O193" s="143">
        <f t="shared" si="261"/>
        <v>4.7969703345255743E-2</v>
      </c>
      <c r="P193" s="35"/>
      <c r="Q193" s="149">
        <v>38.74</v>
      </c>
      <c r="R193" s="143">
        <f t="shared" ref="R193" si="317">Q193/Q194-1</f>
        <v>6.3409278067526831E-2</v>
      </c>
    </row>
    <row r="194" spans="3:18" x14ac:dyDescent="0.3">
      <c r="C194" s="157" t="s">
        <v>270</v>
      </c>
      <c r="E194" s="154">
        <v>3961.63</v>
      </c>
      <c r="F194" s="112">
        <f t="shared" si="263"/>
        <v>2.5489495646051408E-2</v>
      </c>
      <c r="G194" s="35"/>
      <c r="H194" s="149">
        <v>61.59</v>
      </c>
      <c r="I194" s="112">
        <f t="shared" si="263"/>
        <v>-1.4559999999999906E-2</v>
      </c>
      <c r="J194" s="35"/>
      <c r="K194" s="149">
        <v>169.61</v>
      </c>
      <c r="L194" s="143">
        <f t="shared" ref="L194" si="318">K194/K195-1</f>
        <v>-8.824216923796091E-3</v>
      </c>
      <c r="M194" s="35"/>
      <c r="N194" s="149">
        <v>47.53</v>
      </c>
      <c r="O194" s="143">
        <f t="shared" si="261"/>
        <v>-2.1613832853025872E-2</v>
      </c>
      <c r="P194" s="35"/>
      <c r="Q194" s="149">
        <v>36.43</v>
      </c>
      <c r="R194" s="143">
        <f t="shared" ref="R194" si="319">Q194/Q195-1</f>
        <v>-5.4600054600055792E-3</v>
      </c>
    </row>
    <row r="195" spans="3:18" x14ac:dyDescent="0.3">
      <c r="C195" s="147">
        <v>44841</v>
      </c>
      <c r="E195" s="154">
        <v>3863.16</v>
      </c>
      <c r="F195" s="112">
        <f t="shared" si="263"/>
        <v>-9.2886561453360272E-3</v>
      </c>
      <c r="G195" s="35"/>
      <c r="H195" s="149">
        <v>62.5</v>
      </c>
      <c r="I195" s="112">
        <f t="shared" si="263"/>
        <v>-1.0136205258156505E-2</v>
      </c>
      <c r="J195" s="35"/>
      <c r="K195" s="149">
        <v>171.12</v>
      </c>
      <c r="L195" s="143">
        <f t="shared" ref="L195" si="320">K195/K196-1</f>
        <v>-4.4216895508494281E-3</v>
      </c>
      <c r="M195" s="35"/>
      <c r="N195" s="149">
        <v>48.58</v>
      </c>
      <c r="O195" s="143">
        <f t="shared" si="261"/>
        <v>-3.2827246614690608E-3</v>
      </c>
      <c r="P195" s="35"/>
      <c r="Q195" s="149">
        <v>36.630000000000003</v>
      </c>
      <c r="R195" s="143">
        <f t="shared" ref="R195" si="321">Q195/Q196-1</f>
        <v>1.1878453038673964E-2</v>
      </c>
    </row>
    <row r="196" spans="3:18" x14ac:dyDescent="0.3">
      <c r="C196" s="147">
        <v>44627</v>
      </c>
      <c r="E196" s="154">
        <v>3899.38</v>
      </c>
      <c r="F196" s="112">
        <f t="shared" si="263"/>
        <v>1.9357807038869801E-2</v>
      </c>
      <c r="G196" s="35"/>
      <c r="H196" s="149">
        <v>63.14</v>
      </c>
      <c r="I196" s="112">
        <f t="shared" si="263"/>
        <v>-1.9260639950295033E-2</v>
      </c>
      <c r="J196" s="35"/>
      <c r="K196" s="149">
        <v>171.88</v>
      </c>
      <c r="L196" s="143">
        <f t="shared" ref="L196" si="322">K196/K197-1</f>
        <v>1.4699805183304937E-2</v>
      </c>
      <c r="M196" s="35"/>
      <c r="N196" s="149">
        <v>48.74</v>
      </c>
      <c r="O196" s="143">
        <f t="shared" si="261"/>
        <v>3.066187354620431E-2</v>
      </c>
      <c r="P196" s="35"/>
      <c r="Q196" s="149">
        <v>36.200000000000003</v>
      </c>
      <c r="R196" s="143">
        <f t="shared" ref="R196" si="323">Q196/Q197-1</f>
        <v>3.6041031327973538E-3</v>
      </c>
    </row>
    <row r="197" spans="3:18" x14ac:dyDescent="0.3">
      <c r="C197" s="157" t="s">
        <v>271</v>
      </c>
      <c r="E197" s="154">
        <v>3825.33</v>
      </c>
      <c r="F197" s="112">
        <f t="shared" si="263"/>
        <v>-2.2089913951336193E-2</v>
      </c>
      <c r="G197" s="35"/>
      <c r="H197" s="149">
        <v>64.38</v>
      </c>
      <c r="I197" s="112">
        <f t="shared" si="263"/>
        <v>2.1256345177664837E-2</v>
      </c>
      <c r="J197" s="35"/>
      <c r="K197" s="149">
        <v>169.39</v>
      </c>
      <c r="L197" s="143">
        <f t="shared" ref="L197" si="324">K197/K198-1</f>
        <v>1.9623186661048564E-2</v>
      </c>
      <c r="M197" s="35"/>
      <c r="N197" s="149">
        <v>47.29</v>
      </c>
      <c r="O197" s="143">
        <f t="shared" si="261"/>
        <v>0</v>
      </c>
      <c r="P197" s="35"/>
      <c r="Q197" s="149">
        <v>36.07</v>
      </c>
      <c r="R197" s="143">
        <f t="shared" ref="R197" si="325">Q197/Q198-1</f>
        <v>8.6689038031320109E-3</v>
      </c>
    </row>
    <row r="198" spans="3:18" x14ac:dyDescent="0.3">
      <c r="C198" s="157" t="s">
        <v>272</v>
      </c>
      <c r="E198" s="154">
        <v>3911.74</v>
      </c>
      <c r="F198" s="112">
        <f t="shared" si="263"/>
        <v>6.4465391690522456E-2</v>
      </c>
      <c r="G198" s="35"/>
      <c r="H198" s="149">
        <v>63.04</v>
      </c>
      <c r="I198" s="112">
        <f t="shared" si="263"/>
        <v>6.0743732121824046E-2</v>
      </c>
      <c r="J198" s="35"/>
      <c r="K198" s="149">
        <v>166.13</v>
      </c>
      <c r="L198" s="143">
        <f t="shared" ref="L198" si="326">K198/K199-1</f>
        <v>5.7748631096396164E-2</v>
      </c>
      <c r="M198" s="35"/>
      <c r="N198" s="149">
        <v>47.29</v>
      </c>
      <c r="O198" s="143">
        <f t="shared" si="261"/>
        <v>7.3309123921924568E-2</v>
      </c>
      <c r="P198" s="35"/>
      <c r="Q198" s="149">
        <v>35.76</v>
      </c>
      <c r="R198" s="143">
        <f t="shared" ref="R198" si="327">Q198/Q199-1</f>
        <v>4.1048034934497712E-2</v>
      </c>
    </row>
    <row r="199" spans="3:18" x14ac:dyDescent="0.3">
      <c r="C199" s="147">
        <v>44901</v>
      </c>
      <c r="E199" s="154">
        <v>3674.84</v>
      </c>
      <c r="F199" s="112">
        <f t="shared" si="263"/>
        <v>-5.7941069405208045E-2</v>
      </c>
      <c r="G199" s="35"/>
      <c r="H199" s="149">
        <v>59.43</v>
      </c>
      <c r="I199" s="112">
        <f t="shared" si="263"/>
        <v>-3.2242305813385386E-2</v>
      </c>
      <c r="J199" s="35"/>
      <c r="K199" s="149">
        <v>157.06</v>
      </c>
      <c r="L199" s="143">
        <f t="shared" ref="L199" si="328">K199/K200-1</f>
        <v>-3.3595865124292468E-2</v>
      </c>
      <c r="M199" s="35"/>
      <c r="N199" s="149">
        <v>44.06</v>
      </c>
      <c r="O199" s="143">
        <f t="shared" si="261"/>
        <v>1.2408088235294157E-2</v>
      </c>
      <c r="P199" s="35"/>
      <c r="Q199" s="149">
        <v>34.35</v>
      </c>
      <c r="R199" s="143">
        <f t="shared" ref="R199" si="329">Q199/Q200-1</f>
        <v>-3.2121724429416743E-2</v>
      </c>
    </row>
    <row r="200" spans="3:18" x14ac:dyDescent="0.3">
      <c r="C200" s="147">
        <v>44687</v>
      </c>
      <c r="E200" s="154">
        <v>3900.86</v>
      </c>
      <c r="F200" s="112">
        <f t="shared" si="263"/>
        <v>-5.054836998057699E-2</v>
      </c>
      <c r="G200" s="35"/>
      <c r="H200" s="149">
        <v>61.41</v>
      </c>
      <c r="I200" s="112">
        <f t="shared" si="263"/>
        <v>-2.4773701762744182E-2</v>
      </c>
      <c r="J200" s="35"/>
      <c r="K200" s="149">
        <v>162.52000000000001</v>
      </c>
      <c r="L200" s="143">
        <f t="shared" ref="L200" si="330">K200/K201-1</f>
        <v>-1.4134061267819131E-2</v>
      </c>
      <c r="M200" s="35"/>
      <c r="N200" s="149">
        <v>43.52</v>
      </c>
      <c r="O200" s="143">
        <f t="shared" si="261"/>
        <v>-2.0261143628995892E-2</v>
      </c>
      <c r="P200" s="35"/>
      <c r="Q200" s="149">
        <v>35.49</v>
      </c>
      <c r="R200" s="143">
        <f t="shared" ref="R200" si="331">Q200/Q201-1</f>
        <v>1.6032064128256529E-2</v>
      </c>
    </row>
    <row r="201" spans="3:18" x14ac:dyDescent="0.3">
      <c r="C201" s="157" t="s">
        <v>273</v>
      </c>
      <c r="E201" s="154">
        <v>4108.54</v>
      </c>
      <c r="F201" s="112">
        <f t="shared" si="263"/>
        <v>-1.1952172072799971E-2</v>
      </c>
      <c r="G201" s="35"/>
      <c r="H201" s="149">
        <v>62.97</v>
      </c>
      <c r="I201" s="112">
        <f t="shared" si="263"/>
        <v>-2.6437847866419451E-2</v>
      </c>
      <c r="J201" s="35"/>
      <c r="K201" s="149">
        <v>164.85</v>
      </c>
      <c r="L201" s="143">
        <f t="shared" ref="L201" si="332">K201/K202-1</f>
        <v>-4.0286429527857104E-2</v>
      </c>
      <c r="M201" s="35"/>
      <c r="N201" s="149">
        <v>44.42</v>
      </c>
      <c r="O201" s="143">
        <f t="shared" si="261"/>
        <v>-9.1456613874636439E-3</v>
      </c>
      <c r="P201" s="35"/>
      <c r="Q201" s="149">
        <v>34.93</v>
      </c>
      <c r="R201" s="143">
        <f t="shared" ref="R201" si="333">Q201/Q202-1</f>
        <v>-7.106310403638405E-3</v>
      </c>
    </row>
    <row r="202" spans="3:18" x14ac:dyDescent="0.3">
      <c r="C202" s="157" t="s">
        <v>274</v>
      </c>
      <c r="E202" s="154">
        <v>4158.24</v>
      </c>
      <c r="F202" s="112">
        <f t="shared" si="263"/>
        <v>6.5843705784649265E-2</v>
      </c>
      <c r="G202" s="35"/>
      <c r="H202" s="149">
        <v>64.680000000000007</v>
      </c>
      <c r="I202" s="112">
        <f t="shared" si="263"/>
        <v>6.0675631354542681E-2</v>
      </c>
      <c r="J202" s="35"/>
      <c r="K202" s="149">
        <v>171.77</v>
      </c>
      <c r="L202" s="143">
        <f t="shared" ref="L202" si="334">K202/K203-1</f>
        <v>5.8935947228900831E-2</v>
      </c>
      <c r="M202" s="35"/>
      <c r="N202" s="149">
        <v>44.83</v>
      </c>
      <c r="O202" s="143">
        <f t="shared" si="261"/>
        <v>2.3282355626569107E-2</v>
      </c>
      <c r="P202" s="35"/>
      <c r="Q202" s="149">
        <v>35.18</v>
      </c>
      <c r="R202" s="143">
        <f t="shared" ref="R202" si="335">Q202/Q203-1</f>
        <v>1.7351069982648903E-2</v>
      </c>
    </row>
    <row r="203" spans="3:18" x14ac:dyDescent="0.3">
      <c r="C203" s="157" t="s">
        <v>275</v>
      </c>
      <c r="E203" s="154">
        <v>3901.36</v>
      </c>
      <c r="F203" s="112">
        <f t="shared" si="263"/>
        <v>-3.0450633590878406E-2</v>
      </c>
      <c r="G203" s="35"/>
      <c r="H203" s="149">
        <v>60.98</v>
      </c>
      <c r="I203" s="112">
        <f t="shared" si="263"/>
        <v>-7.2124163116250806E-2</v>
      </c>
      <c r="J203" s="35"/>
      <c r="K203" s="149">
        <v>162.21</v>
      </c>
      <c r="L203" s="143">
        <f t="shared" ref="L203" si="336">K203/K204-1</f>
        <v>-6.6256044209072051E-2</v>
      </c>
      <c r="M203" s="35"/>
      <c r="N203" s="149">
        <v>43.81</v>
      </c>
      <c r="O203" s="143">
        <f t="shared" si="261"/>
        <v>-1.4176417641764028E-2</v>
      </c>
      <c r="P203" s="35"/>
      <c r="Q203" s="149">
        <v>34.58</v>
      </c>
      <c r="R203" s="143">
        <f t="shared" ref="R203" si="337">Q203/Q204-1</f>
        <v>-7.0679924751410939E-2</v>
      </c>
    </row>
    <row r="204" spans="3:18" x14ac:dyDescent="0.3">
      <c r="C204" s="147">
        <v>44778</v>
      </c>
      <c r="E204" s="154">
        <v>4023.89</v>
      </c>
      <c r="F204" s="112">
        <f t="shared" si="263"/>
        <v>-2.4118796897660721E-2</v>
      </c>
      <c r="G204" s="35"/>
      <c r="H204" s="149">
        <v>65.72</v>
      </c>
      <c r="I204" s="112">
        <f t="shared" si="263"/>
        <v>1.5137472968798305E-2</v>
      </c>
      <c r="J204" s="35"/>
      <c r="K204" s="149">
        <v>173.72</v>
      </c>
      <c r="L204" s="143">
        <f t="shared" ref="L204" si="338">K204/K205-1</f>
        <v>1.9423742738102323E-2</v>
      </c>
      <c r="M204" s="35"/>
      <c r="N204" s="149">
        <v>44.44</v>
      </c>
      <c r="O204" s="143">
        <f t="shared" si="261"/>
        <v>2.5617355181167811E-2</v>
      </c>
      <c r="P204" s="35"/>
      <c r="Q204" s="149">
        <v>37.21</v>
      </c>
      <c r="R204" s="143">
        <f t="shared" ref="R204" si="339">Q204/Q205-1</f>
        <v>6.7640692640693612E-3</v>
      </c>
    </row>
    <row r="205" spans="3:18" x14ac:dyDescent="0.3">
      <c r="C205" s="147">
        <v>44566</v>
      </c>
      <c r="E205" s="154">
        <v>4123.34</v>
      </c>
      <c r="F205" s="112">
        <f t="shared" si="263"/>
        <v>-2.0789316372736844E-3</v>
      </c>
      <c r="G205" s="35"/>
      <c r="H205" s="149">
        <v>64.739999999999995</v>
      </c>
      <c r="I205" s="112">
        <f t="shared" si="263"/>
        <v>2.012072434607548E-3</v>
      </c>
      <c r="J205" s="35"/>
      <c r="K205" s="149">
        <v>170.41</v>
      </c>
      <c r="L205" s="143">
        <f t="shared" ref="L205" si="340">K205/K206-1</f>
        <v>-7.5709044318910124E-3</v>
      </c>
      <c r="M205" s="35"/>
      <c r="N205" s="149">
        <v>43.33</v>
      </c>
      <c r="O205" s="143">
        <f t="shared" si="261"/>
        <v>1.1437908496731986E-2</v>
      </c>
      <c r="P205" s="35"/>
      <c r="Q205" s="149">
        <v>36.96</v>
      </c>
      <c r="R205" s="143">
        <f t="shared" ref="R205" si="341">Q205/Q206-1</f>
        <v>-1.1764705882352899E-2</v>
      </c>
    </row>
    <row r="206" spans="3:18" x14ac:dyDescent="0.3">
      <c r="C206" s="157" t="s">
        <v>276</v>
      </c>
      <c r="E206" s="154">
        <v>4131.93</v>
      </c>
      <c r="F206" s="112">
        <f t="shared" si="263"/>
        <v>-3.2738109172288699E-2</v>
      </c>
      <c r="G206" s="35"/>
      <c r="H206" s="149">
        <v>64.61</v>
      </c>
      <c r="I206" s="112">
        <f t="shared" si="263"/>
        <v>-9.808429118773998E-3</v>
      </c>
      <c r="J206" s="35"/>
      <c r="K206" s="149">
        <v>171.71</v>
      </c>
      <c r="L206" s="143">
        <f t="shared" ref="L206" si="342">K206/K207-1</f>
        <v>-2.5559105431309792E-3</v>
      </c>
      <c r="M206" s="35"/>
      <c r="N206" s="149">
        <v>42.84</v>
      </c>
      <c r="O206" s="143">
        <f t="shared" si="261"/>
        <v>2.3348120476307521E-4</v>
      </c>
      <c r="P206" s="35"/>
      <c r="Q206" s="149">
        <v>37.4</v>
      </c>
      <c r="R206" s="143">
        <f t="shared" ref="R206" si="343">Q206/Q207-1</f>
        <v>1.08108108108107E-2</v>
      </c>
    </row>
    <row r="207" spans="3:18" x14ac:dyDescent="0.3">
      <c r="C207" s="157" t="s">
        <v>277</v>
      </c>
      <c r="E207" s="154">
        <v>4271.78</v>
      </c>
      <c r="F207" s="112">
        <f t="shared" si="263"/>
        <v>-2.7503135963065195E-2</v>
      </c>
      <c r="G207" s="35"/>
      <c r="H207" s="149">
        <v>65.25</v>
      </c>
      <c r="I207" s="112">
        <f t="shared" si="263"/>
        <v>3.5373731159644706E-3</v>
      </c>
      <c r="J207" s="35"/>
      <c r="K207" s="149">
        <v>172.15</v>
      </c>
      <c r="L207" s="143">
        <f t="shared" ref="L207" si="344">K207/K208-1</f>
        <v>1.4543339150669965E-3</v>
      </c>
      <c r="M207" s="35"/>
      <c r="N207" s="149">
        <v>42.83</v>
      </c>
      <c r="O207" s="143">
        <f t="shared" si="261"/>
        <v>3.7297166384112401E-2</v>
      </c>
      <c r="P207" s="35"/>
      <c r="Q207" s="149">
        <v>37</v>
      </c>
      <c r="R207" s="143">
        <f t="shared" ref="R207" si="345">Q207/Q208-1</f>
        <v>-6.4446831364125545E-3</v>
      </c>
    </row>
    <row r="208" spans="3:18" x14ac:dyDescent="0.3">
      <c r="C208" s="147">
        <v>44838</v>
      </c>
      <c r="E208" s="154">
        <v>4392.59</v>
      </c>
      <c r="F208" s="112">
        <f t="shared" si="263"/>
        <v>-2.1319971124796E-2</v>
      </c>
      <c r="G208" s="35"/>
      <c r="H208" s="149">
        <v>65.02</v>
      </c>
      <c r="I208" s="112">
        <f t="shared" si="263"/>
        <v>1.8643271189096033E-2</v>
      </c>
      <c r="J208" s="35"/>
      <c r="K208" s="149">
        <v>171.9</v>
      </c>
      <c r="L208" s="143">
        <f t="shared" ref="L208" si="346">K208/K209-1</f>
        <v>-7.1044879570264508E-3</v>
      </c>
      <c r="M208" s="35"/>
      <c r="N208" s="149">
        <v>41.29</v>
      </c>
      <c r="O208" s="143">
        <f t="shared" si="261"/>
        <v>1.1761823082577783E-2</v>
      </c>
      <c r="P208" s="35"/>
      <c r="Q208" s="149">
        <v>37.24</v>
      </c>
      <c r="R208" s="143">
        <f t="shared" ref="R208" si="347">Q208/Q209-1</f>
        <v>-1.0889774236387706E-2</v>
      </c>
    </row>
    <row r="209" spans="3:18" x14ac:dyDescent="0.3">
      <c r="C209" s="147">
        <v>44624</v>
      </c>
      <c r="E209" s="154">
        <v>4488.28</v>
      </c>
      <c r="F209" s="112">
        <f t="shared" si="263"/>
        <v>-1.266647015086253E-2</v>
      </c>
      <c r="G209" s="35"/>
      <c r="H209" s="149">
        <v>63.83</v>
      </c>
      <c r="I209" s="112">
        <f t="shared" si="263"/>
        <v>1.5269603944647603E-2</v>
      </c>
      <c r="J209" s="35"/>
      <c r="K209" s="149">
        <v>173.13</v>
      </c>
      <c r="L209" s="143">
        <f t="shared" ref="L209" si="348">K209/K210-1</f>
        <v>1.985155513666359E-2</v>
      </c>
      <c r="M209" s="35"/>
      <c r="N209" s="149">
        <v>40.81</v>
      </c>
      <c r="O209" s="143">
        <f t="shared" si="261"/>
        <v>-6.5725413826678292E-3</v>
      </c>
      <c r="P209" s="35"/>
      <c r="Q209" s="149">
        <v>37.65</v>
      </c>
      <c r="R209" s="143">
        <f t="shared" ref="R209" si="349">Q209/Q210-1</f>
        <v>-1.5428870292887087E-2</v>
      </c>
    </row>
    <row r="210" spans="3:18" x14ac:dyDescent="0.3">
      <c r="C210" s="157" t="s">
        <v>278</v>
      </c>
      <c r="E210" s="154">
        <v>4545.8599999999997</v>
      </c>
      <c r="F210" s="112">
        <f t="shared" si="263"/>
        <v>6.1632467984118477E-4</v>
      </c>
      <c r="G210" s="35"/>
      <c r="H210" s="149">
        <v>62.87</v>
      </c>
      <c r="I210" s="112">
        <f t="shared" si="263"/>
        <v>2.1777994474240225E-2</v>
      </c>
      <c r="J210" s="35"/>
      <c r="K210" s="149">
        <v>169.76</v>
      </c>
      <c r="L210" s="143">
        <f t="shared" ref="L210" si="350">K210/K211-1</f>
        <v>2.7354151537158033E-2</v>
      </c>
      <c r="M210" s="35"/>
      <c r="N210" s="149">
        <v>41.08</v>
      </c>
      <c r="O210" s="143">
        <f t="shared" si="261"/>
        <v>4.3964421855146041E-2</v>
      </c>
      <c r="P210" s="35"/>
      <c r="Q210" s="149">
        <v>38.24</v>
      </c>
      <c r="R210" s="143">
        <f t="shared" ref="R210" si="351">Q210/Q211-1</f>
        <v>1.756253326237367E-2</v>
      </c>
    </row>
    <row r="211" spans="3:18" x14ac:dyDescent="0.3">
      <c r="C211" s="157" t="s">
        <v>279</v>
      </c>
      <c r="E211" s="154">
        <v>4543.0600000000004</v>
      </c>
      <c r="F211" s="112">
        <f t="shared" si="263"/>
        <v>1.7911236982200984E-2</v>
      </c>
      <c r="G211" s="35"/>
      <c r="H211" s="149">
        <v>61.53</v>
      </c>
      <c r="I211" s="112">
        <f t="shared" si="263"/>
        <v>2.379367720465897E-2</v>
      </c>
      <c r="J211" s="35"/>
      <c r="K211" s="149">
        <v>165.24</v>
      </c>
      <c r="L211" s="143">
        <f t="shared" ref="L211" si="352">K211/K212-1</f>
        <v>1.5050064500276461E-2</v>
      </c>
      <c r="M211" s="35"/>
      <c r="N211" s="149">
        <v>39.35</v>
      </c>
      <c r="O211" s="143">
        <f t="shared" si="261"/>
        <v>-2.3330851327872826E-2</v>
      </c>
      <c r="P211" s="35"/>
      <c r="Q211" s="149">
        <v>37.58</v>
      </c>
      <c r="R211" s="143">
        <f t="shared" ref="R211" si="353">Q211/Q212-1</f>
        <v>-6.083046813012527E-3</v>
      </c>
    </row>
    <row r="212" spans="3:18" x14ac:dyDescent="0.3">
      <c r="C212" s="157" t="s">
        <v>280</v>
      </c>
      <c r="E212" s="154">
        <v>4463.12</v>
      </c>
      <c r="F212" s="112">
        <f t="shared" si="263"/>
        <v>6.1558258073262762E-2</v>
      </c>
      <c r="G212" s="35"/>
      <c r="H212" s="149">
        <v>60.1</v>
      </c>
      <c r="I212" s="112">
        <f t="shared" si="263"/>
        <v>3.7638121546961223E-2</v>
      </c>
      <c r="J212" s="35"/>
      <c r="K212" s="149">
        <v>162.79</v>
      </c>
      <c r="L212" s="143">
        <f t="shared" ref="L212" si="354">K212/K213-1</f>
        <v>5.8934495544135768E-2</v>
      </c>
      <c r="M212" s="35"/>
      <c r="N212" s="149">
        <v>40.29</v>
      </c>
      <c r="O212" s="143">
        <f t="shared" si="261"/>
        <v>0.10051898388418468</v>
      </c>
      <c r="P212" s="35"/>
      <c r="Q212" s="149">
        <v>37.81</v>
      </c>
      <c r="R212" s="143">
        <f t="shared" ref="R212" si="355">Q212/Q213-1</f>
        <v>2.7166530834012548E-2</v>
      </c>
    </row>
    <row r="213" spans="3:18" x14ac:dyDescent="0.3">
      <c r="C213" s="147">
        <v>44715</v>
      </c>
      <c r="E213" s="154">
        <v>4204.3100000000004</v>
      </c>
      <c r="F213" s="112">
        <f t="shared" si="263"/>
        <v>-2.8774252865066297E-2</v>
      </c>
      <c r="G213" s="35"/>
      <c r="H213" s="149">
        <v>57.92</v>
      </c>
      <c r="I213" s="112">
        <f t="shared" si="263"/>
        <v>-7.4316765222950276E-2</v>
      </c>
      <c r="J213" s="35"/>
      <c r="K213" s="149">
        <v>153.72999999999999</v>
      </c>
      <c r="L213" s="143">
        <f t="shared" ref="L213" si="356">K213/K214-1</f>
        <v>-7.2518853695324292E-2</v>
      </c>
      <c r="M213" s="35"/>
      <c r="N213" s="149">
        <v>36.61</v>
      </c>
      <c r="O213" s="143">
        <f t="shared" si="261"/>
        <v>-9.9606492867683194E-2</v>
      </c>
      <c r="P213" s="35"/>
      <c r="Q213" s="149">
        <v>36.81</v>
      </c>
      <c r="R213" s="143">
        <f t="shared" ref="R213" si="357">Q213/Q214-1</f>
        <v>-5.32407407407407E-2</v>
      </c>
    </row>
    <row r="214" spans="3:18" x14ac:dyDescent="0.3">
      <c r="C214" s="157" t="s">
        <v>281</v>
      </c>
      <c r="E214" s="154">
        <v>4328.87</v>
      </c>
      <c r="F214" s="112">
        <f t="shared" si="263"/>
        <v>-1.2721653951854761E-2</v>
      </c>
      <c r="G214" s="35"/>
      <c r="H214" s="149">
        <v>62.57</v>
      </c>
      <c r="I214" s="112">
        <f t="shared" si="263"/>
        <v>-4.4550517104217091E-3</v>
      </c>
      <c r="J214" s="35"/>
      <c r="K214" s="149">
        <v>165.75</v>
      </c>
      <c r="L214" s="143">
        <f t="shared" ref="L214" si="358">K214/K215-1</f>
        <v>-1.5619432236607667E-2</v>
      </c>
      <c r="M214" s="35"/>
      <c r="N214" s="149">
        <v>40.659999999999997</v>
      </c>
      <c r="O214" s="143">
        <f t="shared" si="261"/>
        <v>-3.8315988647114607E-2</v>
      </c>
      <c r="P214" s="35"/>
      <c r="Q214" s="149">
        <v>38.880000000000003</v>
      </c>
      <c r="R214" s="143">
        <f t="shared" ref="R214" si="359">Q214/Q215-1</f>
        <v>1.5143603133159322E-2</v>
      </c>
    </row>
    <row r="215" spans="3:18" x14ac:dyDescent="0.3">
      <c r="C215" s="157" t="s">
        <v>282</v>
      </c>
      <c r="E215" s="154">
        <v>4384.6499999999996</v>
      </c>
      <c r="F215" s="112">
        <f t="shared" si="263"/>
        <v>8.2274245953546377E-3</v>
      </c>
      <c r="G215" s="35"/>
      <c r="H215" s="149">
        <v>62.85</v>
      </c>
      <c r="I215" s="112">
        <f t="shared" si="263"/>
        <v>4.9568276303166847E-3</v>
      </c>
      <c r="J215" s="35"/>
      <c r="K215" s="149">
        <v>168.38</v>
      </c>
      <c r="L215" s="143">
        <f t="shared" ref="L215" si="360">K215/K216-1</f>
        <v>3.9949913541230675E-3</v>
      </c>
      <c r="M215" s="35"/>
      <c r="N215" s="149">
        <v>42.28</v>
      </c>
      <c r="O215" s="143">
        <f t="shared" si="261"/>
        <v>4.0610386413979738E-2</v>
      </c>
      <c r="P215" s="35"/>
      <c r="Q215" s="149">
        <v>38.299999999999997</v>
      </c>
      <c r="R215" s="143">
        <f t="shared" ref="R215" si="361">Q215/Q216-1</f>
        <v>-4.6777546777546641E-3</v>
      </c>
    </row>
    <row r="216" spans="3:18" x14ac:dyDescent="0.3">
      <c r="C216" s="157" t="s">
        <v>283</v>
      </c>
      <c r="E216" s="154">
        <v>4348.87</v>
      </c>
      <c r="F216" s="112">
        <f t="shared" si="263"/>
        <v>-1.5789926312168578E-2</v>
      </c>
      <c r="G216" s="35"/>
      <c r="H216" s="149">
        <v>62.54</v>
      </c>
      <c r="I216" s="112">
        <f t="shared" si="263"/>
        <v>3.7319621827832217E-2</v>
      </c>
      <c r="J216" s="35"/>
      <c r="K216" s="149">
        <v>167.71</v>
      </c>
      <c r="L216" s="143">
        <f t="shared" ref="L216" si="362">K216/K217-1</f>
        <v>-5.1607545379048769E-3</v>
      </c>
      <c r="M216" s="35"/>
      <c r="N216" s="149">
        <v>40.630000000000003</v>
      </c>
      <c r="O216" s="143">
        <f t="shared" si="261"/>
        <v>-1.8599033816425026E-2</v>
      </c>
      <c r="P216" s="35"/>
      <c r="Q216" s="149">
        <v>38.479999999999997</v>
      </c>
      <c r="R216" s="143">
        <f t="shared" ref="R216" si="363">Q216/Q217-1</f>
        <v>1.1832763607678043E-2</v>
      </c>
    </row>
    <row r="217" spans="3:18" x14ac:dyDescent="0.3">
      <c r="C217" s="147">
        <v>44714</v>
      </c>
      <c r="E217" s="154">
        <v>4418.6400000000003</v>
      </c>
      <c r="F217" s="112">
        <f t="shared" si="263"/>
        <v>-1.8195634736353106E-2</v>
      </c>
      <c r="G217" s="35"/>
      <c r="H217" s="149">
        <v>60.29</v>
      </c>
      <c r="I217" s="112">
        <f t="shared" si="263"/>
        <v>-1.0990813648294018E-2</v>
      </c>
      <c r="J217" s="35"/>
      <c r="K217" s="149">
        <v>168.58</v>
      </c>
      <c r="L217" s="143">
        <f t="shared" ref="L217" si="364">K217/K218-1</f>
        <v>-2.2667980752507422E-2</v>
      </c>
      <c r="M217" s="35"/>
      <c r="N217" s="149">
        <v>41.4</v>
      </c>
      <c r="O217" s="143">
        <f t="shared" si="261"/>
        <v>-1.7793594306049876E-2</v>
      </c>
      <c r="P217" s="35"/>
      <c r="Q217" s="149">
        <v>38.03</v>
      </c>
      <c r="R217" s="143">
        <f t="shared" ref="R217" si="365">Q217/Q218-1</f>
        <v>-5.4916317991632324E-3</v>
      </c>
    </row>
    <row r="218" spans="3:18" x14ac:dyDescent="0.3">
      <c r="C218" s="157" t="s">
        <v>284</v>
      </c>
      <c r="E218" s="154">
        <v>4500.53</v>
      </c>
      <c r="F218" s="112">
        <f t="shared" si="263"/>
        <v>1.5496914381127436E-2</v>
      </c>
      <c r="G218" s="35"/>
      <c r="H218" s="149">
        <v>60.96</v>
      </c>
      <c r="I218" s="112">
        <f t="shared" si="263"/>
        <v>1.9723865877712132E-3</v>
      </c>
      <c r="J218" s="35"/>
      <c r="K218" s="149">
        <v>172.49</v>
      </c>
      <c r="L218" s="143">
        <f t="shared" ref="L218" si="366">K218/K219-1</f>
        <v>-1.0424509179358665E-3</v>
      </c>
      <c r="M218" s="35"/>
      <c r="N218" s="149">
        <v>42.15</v>
      </c>
      <c r="O218" s="143">
        <f t="shared" si="261"/>
        <v>-1.1723329425556872E-2</v>
      </c>
      <c r="P218" s="35"/>
      <c r="Q218" s="149">
        <v>38.24</v>
      </c>
      <c r="R218" s="143">
        <f t="shared" ref="R218" si="367">Q218/Q219-1</f>
        <v>1.5940488841657885E-2</v>
      </c>
    </row>
    <row r="219" spans="3:18" x14ac:dyDescent="0.3">
      <c r="C219" s="157" t="s">
        <v>285</v>
      </c>
      <c r="E219" s="154">
        <v>4431.8500000000004</v>
      </c>
      <c r="F219" s="112">
        <f t="shared" si="263"/>
        <v>7.7104280640483136E-3</v>
      </c>
      <c r="G219" s="35"/>
      <c r="H219" s="149">
        <v>60.84</v>
      </c>
      <c r="I219" s="112">
        <f t="shared" si="263"/>
        <v>6.4516129032257119E-3</v>
      </c>
      <c r="J219" s="35"/>
      <c r="K219" s="149">
        <v>172.67</v>
      </c>
      <c r="L219" s="143">
        <f t="shared" ref="L219" si="368">K219/K220-1</f>
        <v>-8.8967971530249379E-3</v>
      </c>
      <c r="M219" s="35"/>
      <c r="N219" s="149">
        <v>42.65</v>
      </c>
      <c r="O219" s="143">
        <f t="shared" si="261"/>
        <v>-3.7374445223079533E-3</v>
      </c>
      <c r="P219" s="35"/>
      <c r="Q219" s="149">
        <v>37.64</v>
      </c>
      <c r="R219" s="143">
        <f t="shared" ref="R219" si="369">Q219/Q220-1</f>
        <v>-5.0224689399946953E-3</v>
      </c>
    </row>
    <row r="220" spans="3:18" x14ac:dyDescent="0.3">
      <c r="C220" s="157" t="s">
        <v>286</v>
      </c>
      <c r="E220" s="154">
        <v>4397.9399999999996</v>
      </c>
      <c r="F220" s="112">
        <f t="shared" si="263"/>
        <v>-5.6812893402104048E-2</v>
      </c>
      <c r="G220" s="35"/>
      <c r="H220" s="149">
        <v>60.45</v>
      </c>
      <c r="I220" s="112">
        <f t="shared" si="263"/>
        <v>-1.531194005538361E-2</v>
      </c>
      <c r="J220" s="35"/>
      <c r="K220" s="149">
        <v>174.22</v>
      </c>
      <c r="L220" s="143">
        <f t="shared" ref="L220" si="370">K220/K221-1</f>
        <v>-8.0847187428830791E-3</v>
      </c>
      <c r="M220" s="35"/>
      <c r="N220" s="149">
        <v>42.81</v>
      </c>
      <c r="O220" s="143">
        <f t="shared" si="261"/>
        <v>-4.7820284697508875E-2</v>
      </c>
      <c r="P220" s="35"/>
      <c r="Q220" s="149">
        <v>37.83</v>
      </c>
      <c r="R220" s="143">
        <f t="shared" ref="R220" si="371">Q220/Q221-1</f>
        <v>-3.6914460285132455E-2</v>
      </c>
    </row>
    <row r="221" spans="3:18" x14ac:dyDescent="0.3">
      <c r="C221" s="147">
        <v>44805</v>
      </c>
      <c r="E221" s="154">
        <v>4662.8500000000004</v>
      </c>
      <c r="F221" s="112">
        <f t="shared" si="263"/>
        <v>-3.0318385813217219E-3</v>
      </c>
      <c r="G221" s="35"/>
      <c r="H221" s="149">
        <v>61.39</v>
      </c>
      <c r="I221" s="112">
        <f t="shared" si="263"/>
        <v>1.757003149345282E-2</v>
      </c>
      <c r="J221" s="35"/>
      <c r="K221" s="149">
        <v>175.64</v>
      </c>
      <c r="L221" s="143">
        <f t="shared" ref="L221" si="372">K221/K222-1</f>
        <v>8.9613970588233727E-3</v>
      </c>
      <c r="M221" s="35"/>
      <c r="N221" s="149">
        <v>44.96</v>
      </c>
      <c r="O221" s="143">
        <f t="shared" si="261"/>
        <v>-4.4014458856049377E-2</v>
      </c>
      <c r="P221" s="35"/>
      <c r="Q221" s="149">
        <v>39.28</v>
      </c>
      <c r="R221" s="143">
        <f t="shared" ref="R221" si="373">Q221/Q222-1</f>
        <v>5.3083109919571214E-2</v>
      </c>
    </row>
    <row r="222" spans="3:18" x14ac:dyDescent="0.3">
      <c r="C222" s="147">
        <v>44593</v>
      </c>
      <c r="E222" s="154">
        <v>4677.03</v>
      </c>
      <c r="F222" s="112">
        <f t="shared" si="263"/>
        <v>-1.8704706914132618E-2</v>
      </c>
      <c r="G222" s="35"/>
      <c r="H222" s="149">
        <v>60.33</v>
      </c>
      <c r="I222" s="112">
        <f t="shared" si="263"/>
        <v>1.8915723695321685E-2</v>
      </c>
      <c r="J222" s="35"/>
      <c r="K222" s="149">
        <v>174.08</v>
      </c>
      <c r="L222" s="143">
        <f t="shared" ref="L222" si="374">K222/K223-1</f>
        <v>2.129986759541902E-3</v>
      </c>
      <c r="M222" s="35"/>
      <c r="N222" s="149">
        <v>47.03</v>
      </c>
      <c r="O222" s="143">
        <f t="shared" si="261"/>
        <v>-2.0616409829237847E-2</v>
      </c>
      <c r="P222" s="35"/>
      <c r="Q222" s="149">
        <v>37.299999999999997</v>
      </c>
      <c r="R222" s="143">
        <f t="shared" ref="R222" si="375">Q222/Q223-1</f>
        <v>1.1937059142702156E-2</v>
      </c>
    </row>
    <row r="223" spans="3:18" x14ac:dyDescent="0.3">
      <c r="C223" s="157" t="s">
        <v>287</v>
      </c>
      <c r="E223" s="154">
        <v>4766.18</v>
      </c>
      <c r="F223" s="112">
        <f t="shared" si="263"/>
        <v>8.5467191728791914E-3</v>
      </c>
      <c r="G223" s="35"/>
      <c r="H223" s="149">
        <v>59.21</v>
      </c>
      <c r="I223" s="112">
        <f t="shared" si="263"/>
        <v>1.7004465819306036E-2</v>
      </c>
      <c r="J223" s="35"/>
      <c r="K223" s="149">
        <v>173.71</v>
      </c>
      <c r="L223" s="143">
        <f t="shared" ref="L223" si="376">K223/K224-1</f>
        <v>2.3147602780068333E-2</v>
      </c>
      <c r="M223" s="35"/>
      <c r="N223" s="149">
        <v>48.02</v>
      </c>
      <c r="O223" s="143">
        <f t="shared" si="261"/>
        <v>2.3444160272804826E-2</v>
      </c>
      <c r="P223" s="35"/>
      <c r="Q223" s="149">
        <v>36.86</v>
      </c>
      <c r="R223" s="143">
        <f t="shared" ref="R223" si="377">Q223/Q224-1</f>
        <v>2.5598219254312715E-2</v>
      </c>
    </row>
    <row r="224" spans="3:18" x14ac:dyDescent="0.3">
      <c r="C224" s="157" t="s">
        <v>288</v>
      </c>
      <c r="E224" s="154">
        <v>4725.79</v>
      </c>
      <c r="F224" s="112">
        <f t="shared" si="263"/>
        <v>2.2756587831988639E-2</v>
      </c>
      <c r="G224" s="35"/>
      <c r="H224" s="149">
        <v>58.22</v>
      </c>
      <c r="I224" s="112">
        <f t="shared" si="263"/>
        <v>8.4877879785207888E-3</v>
      </c>
      <c r="J224" s="35"/>
      <c r="K224" s="149">
        <v>169.78</v>
      </c>
      <c r="L224" s="143">
        <f t="shared" ref="L224" si="378">K224/K225-1</f>
        <v>8.7938205585262885E-3</v>
      </c>
      <c r="M224" s="35"/>
      <c r="N224" s="149">
        <v>46.92</v>
      </c>
      <c r="O224" s="143">
        <f t="shared" si="261"/>
        <v>2.4230517354289383E-2</v>
      </c>
      <c r="P224" s="35"/>
      <c r="Q224" s="149">
        <v>35.94</v>
      </c>
      <c r="R224" s="143">
        <f t="shared" ref="R224" si="379">Q224/Q225-1</f>
        <v>7.2869955156951161E-3</v>
      </c>
    </row>
    <row r="225" spans="3:18" x14ac:dyDescent="0.3">
      <c r="C225" s="147">
        <v>44542</v>
      </c>
      <c r="E225" s="154">
        <v>4620.6400000000003</v>
      </c>
      <c r="F225" s="112">
        <f t="shared" si="263"/>
        <v>-1.9392956736176914E-2</v>
      </c>
      <c r="G225" s="35"/>
      <c r="H225" s="149">
        <v>57.73</v>
      </c>
      <c r="I225" s="112">
        <f t="shared" si="263"/>
        <v>2.5764036958066727E-2</v>
      </c>
      <c r="J225" s="35"/>
      <c r="K225" s="149">
        <v>168.3</v>
      </c>
      <c r="L225" s="143">
        <f t="shared" ref="L225" si="380">K225/K226-1</f>
        <v>-3.9652009232407082E-3</v>
      </c>
      <c r="M225" s="35"/>
      <c r="N225" s="149">
        <v>45.81</v>
      </c>
      <c r="O225" s="143">
        <f t="shared" si="261"/>
        <v>2.3001339883876648E-2</v>
      </c>
      <c r="P225" s="35"/>
      <c r="Q225" s="149">
        <v>35.68</v>
      </c>
      <c r="R225" s="143">
        <f t="shared" ref="R225" si="381">Q225/Q226-1</f>
        <v>1.0192525481313774E-2</v>
      </c>
    </row>
    <row r="226" spans="3:18" x14ac:dyDescent="0.3">
      <c r="C226" s="147">
        <v>44328</v>
      </c>
      <c r="E226" s="154">
        <v>4712.0200000000004</v>
      </c>
      <c r="F226" s="112">
        <f t="shared" si="263"/>
        <v>3.8248909865305825E-2</v>
      </c>
      <c r="G226" s="35"/>
      <c r="H226" s="149">
        <v>56.28</v>
      </c>
      <c r="I226" s="112">
        <f t="shared" si="263"/>
        <v>5.1176690324990615E-2</v>
      </c>
      <c r="J226" s="35"/>
      <c r="K226" s="149">
        <v>168.97</v>
      </c>
      <c r="L226" s="143">
        <f t="shared" ref="L226" si="382">K226/K227-1</f>
        <v>2.586363912330758E-2</v>
      </c>
      <c r="M226" s="35"/>
      <c r="N226" s="149">
        <v>44.78</v>
      </c>
      <c r="O226" s="143">
        <f t="shared" si="261"/>
        <v>7.0011947431302346E-2</v>
      </c>
      <c r="P226" s="35"/>
      <c r="Q226" s="149">
        <v>35.32</v>
      </c>
      <c r="R226" s="143">
        <f t="shared" ref="R226" si="383">Q226/Q227-1</f>
        <v>2.4659123875834021E-2</v>
      </c>
    </row>
    <row r="227" spans="3:18" x14ac:dyDescent="0.3">
      <c r="C227" s="157" t="s">
        <v>289</v>
      </c>
      <c r="E227" s="154">
        <v>4538.43</v>
      </c>
      <c r="F227" s="112">
        <f t="shared" si="263"/>
        <v>-1.2229520613238898E-2</v>
      </c>
      <c r="G227" s="35"/>
      <c r="H227" s="149">
        <v>53.54</v>
      </c>
      <c r="I227" s="112">
        <f t="shared" si="263"/>
        <v>-3.536199516098959E-3</v>
      </c>
      <c r="J227" s="35"/>
      <c r="K227" s="149">
        <v>164.71</v>
      </c>
      <c r="L227" s="143">
        <f t="shared" ref="L227" si="384">K227/K228-1</f>
        <v>2.215464813205914E-2</v>
      </c>
      <c r="M227" s="35"/>
      <c r="N227" s="149">
        <v>41.85</v>
      </c>
      <c r="O227" s="143">
        <f t="shared" si="261"/>
        <v>-3.8594073053066835E-2</v>
      </c>
      <c r="P227" s="35"/>
      <c r="Q227" s="149">
        <v>34.47</v>
      </c>
      <c r="R227" s="143">
        <f t="shared" ref="R227" si="385">Q227/Q228-1</f>
        <v>-1.4579759862778707E-2</v>
      </c>
    </row>
    <row r="228" spans="3:18" x14ac:dyDescent="0.3">
      <c r="C228" s="157" t="s">
        <v>290</v>
      </c>
      <c r="E228" s="154">
        <v>4594.62</v>
      </c>
      <c r="F228" s="112">
        <f t="shared" si="263"/>
        <v>-2.1996781581792968E-2</v>
      </c>
      <c r="G228" s="35"/>
      <c r="H228" s="149">
        <v>53.73</v>
      </c>
      <c r="I228" s="112">
        <f t="shared" si="263"/>
        <v>-2.5394522038817424E-2</v>
      </c>
      <c r="J228" s="35"/>
      <c r="K228" s="149">
        <v>161.13999999999999</v>
      </c>
      <c r="L228" s="143">
        <f t="shared" ref="L228" si="386">K228/K229-1</f>
        <v>-1.6299371222758152E-2</v>
      </c>
      <c r="M228" s="35"/>
      <c r="N228" s="149">
        <v>43.53</v>
      </c>
      <c r="O228" s="143">
        <f t="shared" si="261"/>
        <v>-2.5083986562150051E-2</v>
      </c>
      <c r="P228" s="35"/>
      <c r="Q228" s="149">
        <v>34.979999999999997</v>
      </c>
      <c r="R228" s="143">
        <f t="shared" ref="R228" si="387">Q228/Q229-1</f>
        <v>-5.1194539249146409E-3</v>
      </c>
    </row>
    <row r="229" spans="3:18" x14ac:dyDescent="0.3">
      <c r="C229" s="157" t="s">
        <v>291</v>
      </c>
      <c r="E229" s="154">
        <v>4697.96</v>
      </c>
      <c r="F229" s="112">
        <f t="shared" si="263"/>
        <v>3.2266675208472151E-3</v>
      </c>
      <c r="G229" s="35"/>
      <c r="H229" s="149">
        <v>55.13</v>
      </c>
      <c r="I229" s="112">
        <f t="shared" si="263"/>
        <v>-2.614379084967311E-2</v>
      </c>
      <c r="J229" s="35"/>
      <c r="K229" s="149">
        <v>163.81</v>
      </c>
      <c r="L229" s="143">
        <f t="shared" ref="L229" si="388">K229/K230-1</f>
        <v>7.131878266215752E-3</v>
      </c>
      <c r="M229" s="35"/>
      <c r="N229" s="149">
        <v>44.65</v>
      </c>
      <c r="O229" s="143">
        <f t="shared" si="261"/>
        <v>-2.9980447534216914E-2</v>
      </c>
      <c r="P229" s="35"/>
      <c r="Q229" s="149">
        <v>35.159999999999997</v>
      </c>
      <c r="R229" s="143">
        <f t="shared" ref="R229" si="389">Q229/Q230-1</f>
        <v>-1.429772918418859E-2</v>
      </c>
    </row>
    <row r="230" spans="3:18" x14ac:dyDescent="0.3">
      <c r="C230" s="147">
        <v>44388</v>
      </c>
      <c r="E230" s="154">
        <v>4682.8500000000004</v>
      </c>
      <c r="F230" s="112">
        <f t="shared" si="263"/>
        <v>-3.1250465670255023E-3</v>
      </c>
      <c r="G230" s="35"/>
      <c r="H230" s="149">
        <v>56.61</v>
      </c>
      <c r="I230" s="112">
        <f t="shared" si="263"/>
        <v>-4.0464461646728678E-3</v>
      </c>
      <c r="J230" s="35"/>
      <c r="K230" s="149">
        <v>162.65</v>
      </c>
      <c r="L230" s="143">
        <f t="shared" ref="L230" si="390">K230/K231-1</f>
        <v>-2.018072289156625E-2</v>
      </c>
      <c r="M230" s="35"/>
      <c r="N230" s="149">
        <v>46.03</v>
      </c>
      <c r="O230" s="143">
        <f t="shared" ref="O230:O293" si="391">N230/N231-1</f>
        <v>4.8024448810302101E-3</v>
      </c>
      <c r="P230" s="35"/>
      <c r="Q230" s="149">
        <v>35.67</v>
      </c>
      <c r="R230" s="143">
        <f t="shared" ref="R230" si="392">Q230/Q231-1</f>
        <v>-1.9516217702034155E-2</v>
      </c>
    </row>
    <row r="231" spans="3:18" x14ac:dyDescent="0.3">
      <c r="C231" s="157" t="s">
        <v>292</v>
      </c>
      <c r="E231" s="154">
        <v>4697.53</v>
      </c>
      <c r="F231" s="112">
        <f t="shared" ref="F231:I294" si="393">E231/E232-1</f>
        <v>2.0009206623557541E-2</v>
      </c>
      <c r="G231" s="35"/>
      <c r="H231" s="149">
        <v>56.84</v>
      </c>
      <c r="I231" s="112">
        <f t="shared" si="393"/>
        <v>8.3377683164804761E-3</v>
      </c>
      <c r="J231" s="35"/>
      <c r="K231" s="149">
        <v>166</v>
      </c>
      <c r="L231" s="143">
        <f t="shared" ref="L231" si="394">K231/K232-1</f>
        <v>2.7227722772277252E-2</v>
      </c>
      <c r="M231" s="35"/>
      <c r="N231" s="149">
        <v>45.81</v>
      </c>
      <c r="O231" s="143">
        <f t="shared" si="391"/>
        <v>7.7882352941176514E-2</v>
      </c>
      <c r="P231" s="35"/>
      <c r="Q231" s="149">
        <v>36.380000000000003</v>
      </c>
      <c r="R231" s="143">
        <f t="shared" ref="R231" si="395">Q231/Q232-1</f>
        <v>8.0354668883346747E-3</v>
      </c>
    </row>
    <row r="232" spans="3:18" x14ac:dyDescent="0.3">
      <c r="C232" s="157" t="s">
        <v>293</v>
      </c>
      <c r="E232" s="154">
        <v>4605.38</v>
      </c>
      <c r="F232" s="112">
        <f t="shared" si="393"/>
        <v>1.3307223481264785E-2</v>
      </c>
      <c r="G232" s="35"/>
      <c r="H232" s="149">
        <v>56.37</v>
      </c>
      <c r="I232" s="112">
        <f t="shared" si="393"/>
        <v>3.526170798898054E-2</v>
      </c>
      <c r="J232" s="35"/>
      <c r="K232" s="149">
        <v>161.6</v>
      </c>
      <c r="L232" s="143">
        <f t="shared" ref="L232" si="396">K232/K233-1</f>
        <v>1.0189410514471531E-2</v>
      </c>
      <c r="M232" s="35"/>
      <c r="N232" s="149">
        <v>42.5</v>
      </c>
      <c r="O232" s="143">
        <f t="shared" si="391"/>
        <v>3.068208638187464E-3</v>
      </c>
      <c r="P232" s="35"/>
      <c r="Q232" s="149">
        <v>36.090000000000003</v>
      </c>
      <c r="R232" s="143">
        <f t="shared" ref="R232" si="397">Q232/Q233-1</f>
        <v>4.1257934218118963E-2</v>
      </c>
    </row>
    <row r="233" spans="3:18" x14ac:dyDescent="0.3">
      <c r="C233" s="157" t="s">
        <v>294</v>
      </c>
      <c r="E233" s="154">
        <v>4544.8999999999996</v>
      </c>
      <c r="F233" s="112">
        <f t="shared" si="393"/>
        <v>1.6444624354504223E-2</v>
      </c>
      <c r="G233" s="35"/>
      <c r="H233" s="149">
        <v>54.45</v>
      </c>
      <c r="I233" s="112">
        <f t="shared" si="393"/>
        <v>-5.5066079295140735E-4</v>
      </c>
      <c r="J233" s="35"/>
      <c r="K233" s="149">
        <v>159.97</v>
      </c>
      <c r="L233" s="143">
        <f t="shared" ref="L233" si="398">K233/K234-1</f>
        <v>7.3043259240601621E-3</v>
      </c>
      <c r="M233" s="35"/>
      <c r="N233" s="149">
        <v>42.37</v>
      </c>
      <c r="O233" s="143">
        <f t="shared" si="391"/>
        <v>-9.8153774246320102E-3</v>
      </c>
      <c r="P233" s="35"/>
      <c r="Q233" s="149">
        <v>34.659999999999997</v>
      </c>
      <c r="R233" s="143">
        <f t="shared" ref="R233" si="399">Q233/Q234-1</f>
        <v>-1.8408382894364417E-2</v>
      </c>
    </row>
    <row r="234" spans="3:18" x14ac:dyDescent="0.3">
      <c r="C234" s="147">
        <v>44479</v>
      </c>
      <c r="E234" s="154">
        <v>4471.37</v>
      </c>
      <c r="F234" s="112">
        <f t="shared" si="393"/>
        <v>1.8224505504014665E-2</v>
      </c>
      <c r="G234" s="35"/>
      <c r="H234" s="149">
        <v>54.48</v>
      </c>
      <c r="I234" s="112">
        <f t="shared" si="393"/>
        <v>6.6518847006651338E-3</v>
      </c>
      <c r="J234" s="35"/>
      <c r="K234" s="149">
        <v>158.81</v>
      </c>
      <c r="L234" s="143">
        <f t="shared" ref="L234" si="400">K234/K235-1</f>
        <v>1.7817086457732501E-2</v>
      </c>
      <c r="M234" s="35"/>
      <c r="N234" s="149">
        <v>42.79</v>
      </c>
      <c r="O234" s="143">
        <f t="shared" si="391"/>
        <v>-4.1227873627604827E-2</v>
      </c>
      <c r="P234" s="35"/>
      <c r="Q234" s="149">
        <v>35.31</v>
      </c>
      <c r="R234" s="143">
        <f t="shared" ref="R234" si="401">Q234/Q235-1</f>
        <v>7.7054794520547976E-3</v>
      </c>
    </row>
    <row r="235" spans="3:18" x14ac:dyDescent="0.3">
      <c r="C235" s="147">
        <v>44265</v>
      </c>
      <c r="E235" s="154">
        <v>4391.34</v>
      </c>
      <c r="F235" s="112">
        <f t="shared" si="393"/>
        <v>7.8723169858436748E-3</v>
      </c>
      <c r="G235" s="35"/>
      <c r="H235" s="149">
        <v>54.12</v>
      </c>
      <c r="I235" s="112">
        <f t="shared" si="393"/>
        <v>2.0746887966804906E-2</v>
      </c>
      <c r="J235" s="35"/>
      <c r="K235" s="149">
        <v>156.03</v>
      </c>
      <c r="L235" s="143">
        <f t="shared" ref="L235" si="402">K235/K236-1</f>
        <v>3.3653527658165094E-2</v>
      </c>
      <c r="M235" s="35"/>
      <c r="N235" s="149">
        <v>44.63</v>
      </c>
      <c r="O235" s="143">
        <f t="shared" si="391"/>
        <v>-6.8980863373385715E-3</v>
      </c>
      <c r="P235" s="35"/>
      <c r="Q235" s="149">
        <v>35.04</v>
      </c>
      <c r="R235" s="143">
        <f t="shared" ref="R235" si="403">Q235/Q236-1</f>
        <v>5.5421686746987886E-2</v>
      </c>
    </row>
    <row r="236" spans="3:18" x14ac:dyDescent="0.3">
      <c r="C236" s="157" t="s">
        <v>295</v>
      </c>
      <c r="E236" s="154">
        <v>4357.04</v>
      </c>
      <c r="F236" s="112">
        <f t="shared" si="393"/>
        <v>-2.2094140249759753E-2</v>
      </c>
      <c r="G236" s="35"/>
      <c r="H236" s="149">
        <v>53.02</v>
      </c>
      <c r="I236" s="112">
        <f t="shared" si="393"/>
        <v>-1.614399703098901E-2</v>
      </c>
      <c r="J236" s="35"/>
      <c r="K236" s="149">
        <v>150.94999999999999</v>
      </c>
      <c r="L236" s="143">
        <f t="shared" ref="L236" si="404">K236/K237-1</f>
        <v>-2.1076523994811969E-2</v>
      </c>
      <c r="M236" s="35"/>
      <c r="N236" s="149">
        <v>44.94</v>
      </c>
      <c r="O236" s="143">
        <f t="shared" si="391"/>
        <v>-3.0838904464093209E-2</v>
      </c>
      <c r="P236" s="35"/>
      <c r="Q236" s="149">
        <v>33.200000000000003</v>
      </c>
      <c r="R236" s="143">
        <f t="shared" ref="R236" si="405">Q236/Q237-1</f>
        <v>-1.9781517567168394E-2</v>
      </c>
    </row>
    <row r="237" spans="3:18" x14ac:dyDescent="0.3">
      <c r="C237" s="157" t="s">
        <v>296</v>
      </c>
      <c r="E237" s="154">
        <v>4455.4799999999996</v>
      </c>
      <c r="F237" s="112">
        <f t="shared" si="393"/>
        <v>5.0733252274424157E-3</v>
      </c>
      <c r="G237" s="35"/>
      <c r="H237" s="149">
        <v>53.89</v>
      </c>
      <c r="I237" s="112">
        <f t="shared" si="393"/>
        <v>-1.0102865540044026E-2</v>
      </c>
      <c r="J237" s="35"/>
      <c r="K237" s="149">
        <v>154.19999999999999</v>
      </c>
      <c r="L237" s="143">
        <f t="shared" ref="L237" si="406">K237/K238-1</f>
        <v>4.5416207097903616E-4</v>
      </c>
      <c r="M237" s="35"/>
      <c r="N237" s="149">
        <v>46.37</v>
      </c>
      <c r="O237" s="143">
        <f t="shared" si="391"/>
        <v>-2.0076077768385492E-2</v>
      </c>
      <c r="P237" s="35"/>
      <c r="Q237" s="149">
        <v>33.869999999999997</v>
      </c>
      <c r="R237" s="143">
        <f t="shared" ref="R237" si="407">Q237/Q238-1</f>
        <v>-2.979089086221709E-2</v>
      </c>
    </row>
    <row r="238" spans="3:18" x14ac:dyDescent="0.3">
      <c r="C238" s="147">
        <v>44539</v>
      </c>
      <c r="E238" s="154">
        <v>4432.99</v>
      </c>
      <c r="F238" s="112">
        <f t="shared" si="393"/>
        <v>-5.7394955344527432E-3</v>
      </c>
      <c r="G238" s="35"/>
      <c r="H238" s="149">
        <v>54.44</v>
      </c>
      <c r="I238" s="112">
        <f t="shared" si="393"/>
        <v>-2.1039381406221969E-2</v>
      </c>
      <c r="J238" s="35"/>
      <c r="K238" s="149">
        <v>154.13</v>
      </c>
      <c r="L238" s="143">
        <f t="shared" ref="L238" si="408">K238/K239-1</f>
        <v>-8.5552553711566448E-3</v>
      </c>
      <c r="M238" s="35"/>
      <c r="N238" s="149">
        <v>47.32</v>
      </c>
      <c r="O238" s="143">
        <f t="shared" si="391"/>
        <v>-1.334445371142623E-2</v>
      </c>
      <c r="P238" s="35"/>
      <c r="Q238" s="149">
        <v>34.909999999999997</v>
      </c>
      <c r="R238" s="143">
        <f t="shared" ref="R238" si="409">Q238/Q239-1</f>
        <v>2.296870513924798E-3</v>
      </c>
    </row>
    <row r="239" spans="3:18" x14ac:dyDescent="0.3">
      <c r="C239" s="147">
        <v>44325</v>
      </c>
      <c r="E239" s="154">
        <v>4458.58</v>
      </c>
      <c r="F239" s="112">
        <f t="shared" si="393"/>
        <v>-1.6944369111638879E-2</v>
      </c>
      <c r="G239" s="35"/>
      <c r="H239" s="149">
        <v>55.61</v>
      </c>
      <c r="I239" s="112">
        <f t="shared" si="393"/>
        <v>-1.9742640578177317E-2</v>
      </c>
      <c r="J239" s="35"/>
      <c r="K239" s="149">
        <v>155.46</v>
      </c>
      <c r="L239" s="143">
        <f t="shared" ref="L239" si="410">K239/K240-1</f>
        <v>-1.0376217454962089E-2</v>
      </c>
      <c r="M239" s="35"/>
      <c r="N239" s="149">
        <v>47.96</v>
      </c>
      <c r="O239" s="143">
        <f t="shared" si="391"/>
        <v>-1.7011682721869148E-2</v>
      </c>
      <c r="P239" s="35"/>
      <c r="Q239" s="149">
        <v>34.83</v>
      </c>
      <c r="R239" s="143">
        <f t="shared" ref="R239" si="411">Q239/Q240-1</f>
        <v>-1.1634506242905851E-2</v>
      </c>
    </row>
    <row r="240" spans="3:18" x14ac:dyDescent="0.3">
      <c r="C240" s="157" t="s">
        <v>297</v>
      </c>
      <c r="E240" s="154">
        <v>4535.43</v>
      </c>
      <c r="F240" s="112">
        <f t="shared" si="393"/>
        <v>5.7790777869193288E-3</v>
      </c>
      <c r="G240" s="35"/>
      <c r="H240" s="149">
        <v>56.73</v>
      </c>
      <c r="I240" s="112">
        <f t="shared" si="393"/>
        <v>1.9407008086253397E-2</v>
      </c>
      <c r="J240" s="35"/>
      <c r="K240" s="149">
        <v>157.09</v>
      </c>
      <c r="L240" s="143">
        <f t="shared" ref="L240" si="412">K240/K241-1</f>
        <v>1.3876339228088286E-2</v>
      </c>
      <c r="M240" s="35"/>
      <c r="N240" s="149">
        <v>48.79</v>
      </c>
      <c r="O240" s="143">
        <f t="shared" si="391"/>
        <v>2.4655845490033634E-3</v>
      </c>
      <c r="P240" s="35"/>
      <c r="Q240" s="149">
        <v>35.24</v>
      </c>
      <c r="R240" s="143">
        <f t="shared" ref="R240" si="413">Q240/Q241-1</f>
        <v>3.1312268716197078E-3</v>
      </c>
    </row>
    <row r="241" spans="3:18" x14ac:dyDescent="0.3">
      <c r="C241" s="157" t="s">
        <v>298</v>
      </c>
      <c r="E241" s="154">
        <v>4509.37</v>
      </c>
      <c r="F241" s="112">
        <f t="shared" si="393"/>
        <v>1.5242014827756112E-2</v>
      </c>
      <c r="G241" s="35"/>
      <c r="H241" s="149">
        <v>55.65</v>
      </c>
      <c r="I241" s="112">
        <f t="shared" si="393"/>
        <v>-1.7478813559322015E-2</v>
      </c>
      <c r="J241" s="35"/>
      <c r="K241" s="149">
        <v>154.94</v>
      </c>
      <c r="L241" s="143">
        <f t="shared" ref="L241" si="414">K241/K242-1</f>
        <v>-2.1534575307862291E-2</v>
      </c>
      <c r="M241" s="35"/>
      <c r="N241" s="149">
        <v>48.67</v>
      </c>
      <c r="O241" s="143">
        <f t="shared" si="391"/>
        <v>6.2021914409760015E-3</v>
      </c>
      <c r="P241" s="35"/>
      <c r="Q241" s="149">
        <v>35.130000000000003</v>
      </c>
      <c r="R241" s="143">
        <f t="shared" ref="R241" si="415">Q241/Q242-1</f>
        <v>8.9029293509477192E-3</v>
      </c>
    </row>
    <row r="242" spans="3:18" x14ac:dyDescent="0.3">
      <c r="C242" s="157" t="s">
        <v>299</v>
      </c>
      <c r="E242" s="154">
        <v>4441.67</v>
      </c>
      <c r="F242" s="112">
        <f t="shared" si="393"/>
        <v>-5.8930170098477896E-3</v>
      </c>
      <c r="G242" s="35"/>
      <c r="H242" s="149">
        <v>56.64</v>
      </c>
      <c r="I242" s="112">
        <f t="shared" si="393"/>
        <v>-1.0309278350515427E-2</v>
      </c>
      <c r="J242" s="35"/>
      <c r="K242" s="149">
        <v>158.35</v>
      </c>
      <c r="L242" s="143">
        <f t="shared" ref="L242" si="416">K242/K243-1</f>
        <v>1.1691796575517444E-2</v>
      </c>
      <c r="M242" s="35"/>
      <c r="N242" s="149">
        <v>48.37</v>
      </c>
      <c r="O242" s="143">
        <f t="shared" si="391"/>
        <v>-1.4064410925397564E-2</v>
      </c>
      <c r="P242" s="35"/>
      <c r="Q242" s="149">
        <v>34.82</v>
      </c>
      <c r="R242" s="143">
        <f t="shared" ref="R242" si="417">Q242/Q243-1</f>
        <v>1.074020319303326E-2</v>
      </c>
    </row>
    <row r="243" spans="3:18" x14ac:dyDescent="0.3">
      <c r="C243" s="147">
        <v>44416</v>
      </c>
      <c r="E243" s="154">
        <v>4468</v>
      </c>
      <c r="F243" s="112">
        <f t="shared" si="393"/>
        <v>7.0956515467077708E-3</v>
      </c>
      <c r="G243" s="35"/>
      <c r="H243" s="149">
        <v>57.23</v>
      </c>
      <c r="I243" s="112">
        <f t="shared" si="393"/>
        <v>1.0416666666666519E-2</v>
      </c>
      <c r="J243" s="35"/>
      <c r="K243" s="149">
        <v>156.52000000000001</v>
      </c>
      <c r="L243" s="143">
        <f t="shared" ref="L243" si="418">K243/K244-1</f>
        <v>1.4190371282317038E-2</v>
      </c>
      <c r="M243" s="35"/>
      <c r="N243" s="149">
        <v>49.06</v>
      </c>
      <c r="O243" s="143">
        <f t="shared" si="391"/>
        <v>1.1755001031140466E-2</v>
      </c>
      <c r="P243" s="35"/>
      <c r="Q243" s="149">
        <v>34.450000000000003</v>
      </c>
      <c r="R243" s="143">
        <f t="shared" ref="R243" si="419">Q243/Q244-1</f>
        <v>4.6660834062410839E-3</v>
      </c>
    </row>
    <row r="244" spans="3:18" x14ac:dyDescent="0.3">
      <c r="C244" s="147">
        <v>44204</v>
      </c>
      <c r="E244" s="154">
        <v>4436.5200000000004</v>
      </c>
      <c r="F244" s="112">
        <f t="shared" si="393"/>
        <v>9.3873855016541885E-3</v>
      </c>
      <c r="G244" s="35"/>
      <c r="H244" s="149">
        <v>56.64</v>
      </c>
      <c r="I244" s="112">
        <f t="shared" si="393"/>
        <v>-6.8385060494476901E-3</v>
      </c>
      <c r="J244" s="35"/>
      <c r="K244" s="149">
        <v>154.33000000000001</v>
      </c>
      <c r="L244" s="143">
        <f t="shared" ref="L244" si="420">K244/K245-1</f>
        <v>-1.6693214399490119E-2</v>
      </c>
      <c r="M244" s="35"/>
      <c r="N244" s="149">
        <v>48.49</v>
      </c>
      <c r="O244" s="143">
        <f t="shared" si="391"/>
        <v>2.8201865988125574E-2</v>
      </c>
      <c r="P244" s="35"/>
      <c r="Q244" s="149">
        <v>34.29</v>
      </c>
      <c r="R244" s="143">
        <f t="shared" ref="R244" si="421">Q244/Q245-1</f>
        <v>-2.6128940641863108E-2</v>
      </c>
    </row>
    <row r="245" spans="3:18" x14ac:dyDescent="0.3">
      <c r="C245" s="157" t="s">
        <v>300</v>
      </c>
      <c r="E245" s="154">
        <v>4395.26</v>
      </c>
      <c r="F245" s="112">
        <f t="shared" si="393"/>
        <v>-3.7467785184697178E-3</v>
      </c>
      <c r="G245" s="35"/>
      <c r="H245" s="149">
        <v>57.03</v>
      </c>
      <c r="I245" s="112">
        <f t="shared" si="393"/>
        <v>3.5081564637784446E-4</v>
      </c>
      <c r="J245" s="35"/>
      <c r="K245" s="149">
        <v>156.94999999999999</v>
      </c>
      <c r="L245" s="143">
        <f t="shared" ref="L245" si="422">K245/K246-1</f>
        <v>-1.4632904949740677E-3</v>
      </c>
      <c r="M245" s="35"/>
      <c r="N245" s="149">
        <v>47.16</v>
      </c>
      <c r="O245" s="143">
        <f t="shared" si="391"/>
        <v>-2.0560747663551426E-2</v>
      </c>
      <c r="P245" s="35"/>
      <c r="Q245" s="149">
        <v>35.21</v>
      </c>
      <c r="R245" s="143">
        <f t="shared" ref="R245" si="423">Q245/Q246-1</f>
        <v>-2.384252841696699E-2</v>
      </c>
    </row>
    <row r="246" spans="3:18" x14ac:dyDescent="0.3">
      <c r="C246" s="157" t="s">
        <v>301</v>
      </c>
      <c r="E246" s="154">
        <v>4411.79</v>
      </c>
      <c r="F246" s="112">
        <f t="shared" si="393"/>
        <v>1.9557862431710538E-2</v>
      </c>
      <c r="G246" s="35"/>
      <c r="H246" s="149">
        <v>57.01</v>
      </c>
      <c r="I246" s="112">
        <f t="shared" si="393"/>
        <v>1.0815602836879323E-2</v>
      </c>
      <c r="J246" s="35"/>
      <c r="K246" s="149">
        <v>157.18</v>
      </c>
      <c r="L246" s="143">
        <f t="shared" ref="L246" si="424">K246/K247-1</f>
        <v>8.7280195096908209E-3</v>
      </c>
      <c r="M246" s="35"/>
      <c r="N246" s="149">
        <v>48.15</v>
      </c>
      <c r="O246" s="143">
        <f t="shared" si="391"/>
        <v>3.4816247582204918E-2</v>
      </c>
      <c r="P246" s="35"/>
      <c r="Q246" s="149">
        <v>36.07</v>
      </c>
      <c r="R246" s="143">
        <f t="shared" ref="R246" si="425">Q246/Q247-1</f>
        <v>5.2954292084725907E-3</v>
      </c>
    </row>
    <row r="247" spans="3:18" x14ac:dyDescent="0.3">
      <c r="C247" s="147">
        <v>44507</v>
      </c>
      <c r="E247" s="154">
        <v>4327.16</v>
      </c>
      <c r="F247" s="112">
        <f t="shared" si="393"/>
        <v>-9.7012278152213138E-3</v>
      </c>
      <c r="G247" s="35"/>
      <c r="H247" s="149">
        <v>56.4</v>
      </c>
      <c r="I247" s="112">
        <f t="shared" si="393"/>
        <v>3.5622475211164017E-2</v>
      </c>
      <c r="J247" s="35"/>
      <c r="K247" s="149">
        <v>155.82</v>
      </c>
      <c r="L247" s="143">
        <f t="shared" ref="L247" si="426">K247/K248-1</f>
        <v>4.2413700829542433E-2</v>
      </c>
      <c r="M247" s="35"/>
      <c r="N247" s="149">
        <v>46.53</v>
      </c>
      <c r="O247" s="143">
        <f t="shared" si="391"/>
        <v>3.125E-2</v>
      </c>
      <c r="P247" s="35"/>
      <c r="Q247" s="149">
        <v>35.880000000000003</v>
      </c>
      <c r="R247" s="143">
        <f t="shared" ref="R247" si="427">Q247/Q248-1</f>
        <v>2.5142857142857133E-2</v>
      </c>
    </row>
    <row r="248" spans="3:18" x14ac:dyDescent="0.3">
      <c r="C248" s="147">
        <v>44293</v>
      </c>
      <c r="E248" s="154">
        <v>4369.55</v>
      </c>
      <c r="F248" s="112">
        <f t="shared" si="393"/>
        <v>3.954194755005469E-3</v>
      </c>
      <c r="G248" s="35"/>
      <c r="H248" s="149">
        <v>54.46</v>
      </c>
      <c r="I248" s="112">
        <f t="shared" si="393"/>
        <v>5.1679586563306845E-3</v>
      </c>
      <c r="J248" s="35"/>
      <c r="K248" s="149">
        <v>149.47999999999999</v>
      </c>
      <c r="L248" s="143">
        <f t="shared" ref="L248" si="428">K248/K249-1</f>
        <v>3.8278154590021263E-3</v>
      </c>
      <c r="M248" s="35"/>
      <c r="N248" s="149">
        <v>45.12</v>
      </c>
      <c r="O248" s="143">
        <f t="shared" si="391"/>
        <v>-6.823684789786566E-3</v>
      </c>
      <c r="P248" s="35"/>
      <c r="Q248" s="149">
        <v>35</v>
      </c>
      <c r="R248" s="143">
        <f t="shared" ref="R248" si="429">Q248/Q249-1</f>
        <v>-5.1165434906196294E-3</v>
      </c>
    </row>
    <row r="249" spans="3:18" x14ac:dyDescent="0.3">
      <c r="C249" s="157" t="s">
        <v>302</v>
      </c>
      <c r="E249" s="154">
        <v>4352.34</v>
      </c>
      <c r="F249" s="112">
        <f t="shared" si="393"/>
        <v>1.6735580629336333E-2</v>
      </c>
      <c r="G249" s="35"/>
      <c r="H249" s="149">
        <v>54.18</v>
      </c>
      <c r="I249" s="112">
        <f t="shared" si="393"/>
        <v>-2.5773195876288568E-3</v>
      </c>
      <c r="J249" s="35"/>
      <c r="K249" s="149">
        <v>148.91</v>
      </c>
      <c r="L249" s="143">
        <f t="shared" ref="L249" si="430">K249/K250-1</f>
        <v>1.7075336384126727E-2</v>
      </c>
      <c r="M249" s="35"/>
      <c r="N249" s="149">
        <v>45.43</v>
      </c>
      <c r="O249" s="143">
        <f t="shared" si="391"/>
        <v>-1.3677811550152019E-2</v>
      </c>
      <c r="P249" s="35"/>
      <c r="Q249" s="149">
        <v>35.18</v>
      </c>
      <c r="R249" s="143">
        <f t="shared" ref="R249" si="431">Q249/Q250-1</f>
        <v>9.179575444635768E-3</v>
      </c>
    </row>
    <row r="250" spans="3:18" x14ac:dyDescent="0.3">
      <c r="C250" s="157" t="s">
        <v>303</v>
      </c>
      <c r="E250" s="154">
        <v>4280.7</v>
      </c>
      <c r="F250" s="112">
        <f t="shared" si="393"/>
        <v>2.7421425914147646E-2</v>
      </c>
      <c r="G250" s="35"/>
      <c r="H250" s="149">
        <v>54.32</v>
      </c>
      <c r="I250" s="112">
        <f t="shared" si="393"/>
        <v>1.0228752092244608E-2</v>
      </c>
      <c r="J250" s="35"/>
      <c r="K250" s="149">
        <v>146.41</v>
      </c>
      <c r="L250" s="143">
        <f t="shared" ref="L250" si="432">K250/K251-1</f>
        <v>6.8078668683813071E-3</v>
      </c>
      <c r="M250" s="35"/>
      <c r="N250" s="149">
        <v>46.06</v>
      </c>
      <c r="O250" s="143">
        <f t="shared" si="391"/>
        <v>3.9232781168265785E-3</v>
      </c>
      <c r="P250" s="35"/>
      <c r="Q250" s="149">
        <v>34.86</v>
      </c>
      <c r="R250" s="143">
        <f t="shared" ref="R250" si="433">Q250/Q251-1</f>
        <v>9.8493626882965035E-3</v>
      </c>
    </row>
    <row r="251" spans="3:18" x14ac:dyDescent="0.3">
      <c r="C251" s="157" t="s">
        <v>304</v>
      </c>
      <c r="E251" s="154">
        <v>4166.45</v>
      </c>
      <c r="F251" s="112">
        <f t="shared" si="393"/>
        <v>-1.9067956227751259E-2</v>
      </c>
      <c r="G251" s="35"/>
      <c r="H251" s="149">
        <v>53.77</v>
      </c>
      <c r="I251" s="112">
        <f t="shared" si="393"/>
        <v>-4.2556980056979943E-2</v>
      </c>
      <c r="J251" s="35"/>
      <c r="K251" s="149">
        <v>145.41999999999999</v>
      </c>
      <c r="L251" s="143">
        <f t="shared" ref="L251" si="434">K251/K252-1</f>
        <v>-1.537003182341401E-2</v>
      </c>
      <c r="M251" s="35"/>
      <c r="N251" s="149">
        <v>45.88</v>
      </c>
      <c r="O251" s="143">
        <f t="shared" si="391"/>
        <v>-1.8609625668449148E-2</v>
      </c>
      <c r="P251" s="35"/>
      <c r="Q251" s="149">
        <v>34.520000000000003</v>
      </c>
      <c r="R251" s="143">
        <f t="shared" ref="R251" si="435">Q251/Q252-1</f>
        <v>-2.0153278455861345E-2</v>
      </c>
    </row>
    <row r="252" spans="3:18" x14ac:dyDescent="0.3">
      <c r="C252" s="147">
        <v>44353</v>
      </c>
      <c r="E252" s="154">
        <v>4247.4399999999996</v>
      </c>
      <c r="F252" s="112">
        <f t="shared" si="393"/>
        <v>4.1490440649754046E-3</v>
      </c>
      <c r="G252" s="35"/>
      <c r="H252" s="149">
        <v>56.16</v>
      </c>
      <c r="I252" s="112">
        <f t="shared" si="393"/>
        <v>-1.4224751066856944E-3</v>
      </c>
      <c r="J252" s="35"/>
      <c r="K252" s="149">
        <v>147.69</v>
      </c>
      <c r="L252" s="143">
        <f t="shared" ref="L252" si="436">K252/K253-1</f>
        <v>-1.0146103896104819E-3</v>
      </c>
      <c r="M252" s="35"/>
      <c r="N252" s="149">
        <v>46.75</v>
      </c>
      <c r="O252" s="143">
        <f t="shared" si="391"/>
        <v>-1.9710631159572167E-2</v>
      </c>
      <c r="P252" s="35"/>
      <c r="Q252" s="149">
        <v>35.229999999999997</v>
      </c>
      <c r="R252" s="143">
        <f t="shared" ref="R252" si="437">Q252/Q253-1</f>
        <v>-4.5516120292603657E-2</v>
      </c>
    </row>
    <row r="253" spans="3:18" x14ac:dyDescent="0.3">
      <c r="C253" s="157" t="s">
        <v>305</v>
      </c>
      <c r="E253" s="154">
        <v>4229.8900000000003</v>
      </c>
      <c r="F253" s="112">
        <f t="shared" si="393"/>
        <v>6.1320945455758391E-3</v>
      </c>
      <c r="G253" s="35"/>
      <c r="H253" s="149">
        <v>56.24</v>
      </c>
      <c r="I253" s="112">
        <f t="shared" si="393"/>
        <v>1.7182130584192601E-2</v>
      </c>
      <c r="J253" s="35"/>
      <c r="K253" s="149">
        <v>147.84</v>
      </c>
      <c r="L253" s="143">
        <f t="shared" ref="L253" si="438">K253/K254-1</f>
        <v>-6.7594970934159448E-4</v>
      </c>
      <c r="M253" s="35"/>
      <c r="N253" s="149">
        <v>47.69</v>
      </c>
      <c r="O253" s="143">
        <f t="shared" si="391"/>
        <v>1.1882028431996483E-2</v>
      </c>
      <c r="P253" s="35"/>
      <c r="Q253" s="149">
        <v>36.909999999999997</v>
      </c>
      <c r="R253" s="143">
        <f t="shared" ref="R253" si="439">Q253/Q254-1</f>
        <v>-1.3528138528139388E-3</v>
      </c>
    </row>
    <row r="254" spans="3:18" x14ac:dyDescent="0.3">
      <c r="C254" s="157" t="s">
        <v>306</v>
      </c>
      <c r="E254" s="154">
        <v>4204.1099999999997</v>
      </c>
      <c r="F254" s="112">
        <f t="shared" si="393"/>
        <v>1.1610111986448013E-2</v>
      </c>
      <c r="G254" s="35"/>
      <c r="H254" s="149">
        <v>55.29</v>
      </c>
      <c r="I254" s="112">
        <f t="shared" si="393"/>
        <v>1.2266569022336249E-2</v>
      </c>
      <c r="J254" s="35"/>
      <c r="K254" s="149">
        <v>147.94</v>
      </c>
      <c r="L254" s="143">
        <f t="shared" ref="L254" si="440">K254/K255-1</f>
        <v>5.7104010876953826E-3</v>
      </c>
      <c r="M254" s="35"/>
      <c r="N254" s="149">
        <v>47.13</v>
      </c>
      <c r="O254" s="143">
        <f t="shared" si="391"/>
        <v>2.4342534231688973E-2</v>
      </c>
      <c r="P254" s="35"/>
      <c r="Q254" s="149">
        <v>36.96</v>
      </c>
      <c r="R254" s="143">
        <f t="shared" ref="R254" si="441">Q254/Q255-1</f>
        <v>1.9867549668874052E-2</v>
      </c>
    </row>
    <row r="255" spans="3:18" x14ac:dyDescent="0.3">
      <c r="C255" s="157" t="s">
        <v>307</v>
      </c>
      <c r="E255" s="154">
        <v>4155.8599999999997</v>
      </c>
      <c r="F255" s="112">
        <f t="shared" si="393"/>
        <v>-4.3101692681818404E-3</v>
      </c>
      <c r="G255" s="35"/>
      <c r="H255" s="149">
        <v>54.62</v>
      </c>
      <c r="I255" s="112">
        <f t="shared" si="393"/>
        <v>-2.0098666179426683E-3</v>
      </c>
      <c r="J255" s="35"/>
      <c r="K255" s="149">
        <v>147.1</v>
      </c>
      <c r="L255" s="143">
        <f t="shared" ref="L255" si="442">K255/K256-1</f>
        <v>3.4790913432021231E-3</v>
      </c>
      <c r="M255" s="35"/>
      <c r="N255" s="149">
        <v>46.01</v>
      </c>
      <c r="O255" s="143">
        <f t="shared" si="391"/>
        <v>-1.3023659648361274E-3</v>
      </c>
      <c r="P255" s="35"/>
      <c r="Q255" s="149">
        <v>36.24</v>
      </c>
      <c r="R255" s="143">
        <f t="shared" ref="R255" si="443">Q255/Q256-1</f>
        <v>5.270457697642339E-3</v>
      </c>
    </row>
    <row r="256" spans="3:18" x14ac:dyDescent="0.3">
      <c r="C256" s="147">
        <v>44444</v>
      </c>
      <c r="E256" s="154">
        <v>4173.8500000000004</v>
      </c>
      <c r="F256" s="112">
        <f t="shared" si="393"/>
        <v>-1.388035722723624E-2</v>
      </c>
      <c r="G256" s="35"/>
      <c r="H256" s="149">
        <v>54.73</v>
      </c>
      <c r="I256" s="112">
        <f t="shared" si="393"/>
        <v>4.0359567051917455E-3</v>
      </c>
      <c r="J256" s="35"/>
      <c r="K256" s="149">
        <v>146.59</v>
      </c>
      <c r="L256" s="143">
        <f t="shared" ref="L256" si="444">K256/K257-1</f>
        <v>7.0761198131354952E-3</v>
      </c>
      <c r="M256" s="35"/>
      <c r="N256" s="149">
        <v>46.07</v>
      </c>
      <c r="O256" s="143">
        <f t="shared" si="391"/>
        <v>9.6427788735480302E-3</v>
      </c>
      <c r="P256" s="35"/>
      <c r="Q256" s="149">
        <v>36.049999999999997</v>
      </c>
      <c r="R256" s="143">
        <f t="shared" ref="R256" si="445">Q256/Q257-1</f>
        <v>-1.5027322404371657E-2</v>
      </c>
    </row>
    <row r="257" spans="3:18" x14ac:dyDescent="0.3">
      <c r="C257" s="147">
        <v>44232</v>
      </c>
      <c r="E257" s="154">
        <v>4232.6000000000004</v>
      </c>
      <c r="F257" s="112">
        <f t="shared" si="393"/>
        <v>1.2300384820516763E-2</v>
      </c>
      <c r="G257" s="35"/>
      <c r="H257" s="149">
        <v>54.51</v>
      </c>
      <c r="I257" s="112">
        <f t="shared" si="393"/>
        <v>9.8184512782513167E-3</v>
      </c>
      <c r="J257" s="35"/>
      <c r="K257" s="149">
        <v>145.56</v>
      </c>
      <c r="L257" s="143">
        <f t="shared" ref="L257" si="446">K257/K258-1</f>
        <v>9.7114317425084362E-3</v>
      </c>
      <c r="M257" s="35"/>
      <c r="N257" s="149">
        <v>45.63</v>
      </c>
      <c r="O257" s="143">
        <f t="shared" si="391"/>
        <v>-5.9756851432103852E-2</v>
      </c>
      <c r="P257" s="35"/>
      <c r="Q257" s="149">
        <v>36.6</v>
      </c>
      <c r="R257" s="143">
        <f t="shared" ref="R257" si="447">Q257/Q258-1</f>
        <v>2.0920502092050208E-2</v>
      </c>
    </row>
    <row r="258" spans="3:18" x14ac:dyDescent="0.3">
      <c r="C258" s="157" t="s">
        <v>308</v>
      </c>
      <c r="E258" s="154">
        <v>4181.17</v>
      </c>
      <c r="F258" s="112">
        <f t="shared" si="393"/>
        <v>2.3922472052562149E-4</v>
      </c>
      <c r="G258" s="35"/>
      <c r="H258" s="149">
        <v>53.98</v>
      </c>
      <c r="I258" s="112">
        <f t="shared" si="393"/>
        <v>-8.9957774921975986E-3</v>
      </c>
      <c r="J258" s="35"/>
      <c r="K258" s="149">
        <v>144.16</v>
      </c>
      <c r="L258" s="143">
        <f t="shared" ref="L258" si="448">K258/K259-1</f>
        <v>-1.1451690324350339E-2</v>
      </c>
      <c r="M258" s="35"/>
      <c r="N258" s="149">
        <v>48.53</v>
      </c>
      <c r="O258" s="143">
        <f t="shared" si="391"/>
        <v>-1.6416700445885724E-2</v>
      </c>
      <c r="P258" s="35"/>
      <c r="Q258" s="149">
        <v>35.85</v>
      </c>
      <c r="R258" s="143">
        <f t="shared" ref="R258" si="449">Q258/Q259-1</f>
        <v>-9.121061359867233E-3</v>
      </c>
    </row>
    <row r="259" spans="3:18" x14ac:dyDescent="0.3">
      <c r="C259" s="157" t="s">
        <v>309</v>
      </c>
      <c r="E259" s="154">
        <v>4180.17</v>
      </c>
      <c r="F259" s="112">
        <f t="shared" si="393"/>
        <v>-1.266285506765108E-3</v>
      </c>
      <c r="G259" s="35"/>
      <c r="H259" s="149">
        <v>54.47</v>
      </c>
      <c r="I259" s="112">
        <f t="shared" si="393"/>
        <v>1.4716840536512565E-2</v>
      </c>
      <c r="J259" s="35"/>
      <c r="K259" s="149">
        <v>145.83000000000001</v>
      </c>
      <c r="L259" s="143">
        <f t="shared" ref="L259" si="450">K259/K260-1</f>
        <v>1.1584350721420833E-2</v>
      </c>
      <c r="M259" s="35"/>
      <c r="N259" s="149">
        <v>49.34</v>
      </c>
      <c r="O259" s="143">
        <f t="shared" si="391"/>
        <v>5.2974735126325445E-3</v>
      </c>
      <c r="P259" s="35"/>
      <c r="Q259" s="149">
        <v>36.18</v>
      </c>
      <c r="R259" s="143">
        <f t="shared" ref="R259" si="451">Q259/Q260-1</f>
        <v>4.7209108580950065E-3</v>
      </c>
    </row>
    <row r="260" spans="3:18" x14ac:dyDescent="0.3">
      <c r="C260" s="147">
        <v>44504</v>
      </c>
      <c r="E260" s="154">
        <v>4185.47</v>
      </c>
      <c r="F260" s="112">
        <f t="shared" si="393"/>
        <v>1.3725537686494871E-2</v>
      </c>
      <c r="G260" s="35"/>
      <c r="H260" s="149">
        <v>53.68</v>
      </c>
      <c r="I260" s="112">
        <f t="shared" si="393"/>
        <v>9.4020308386610907E-3</v>
      </c>
      <c r="J260" s="35"/>
      <c r="K260" s="149">
        <v>144.16</v>
      </c>
      <c r="L260" s="143">
        <f t="shared" ref="L260" si="452">K260/K261-1</f>
        <v>1.1152416356877248E-2</v>
      </c>
      <c r="M260" s="35"/>
      <c r="N260" s="149">
        <v>49.08</v>
      </c>
      <c r="O260" s="143">
        <f t="shared" si="391"/>
        <v>3.0010493179433384E-2</v>
      </c>
      <c r="P260" s="35"/>
      <c r="Q260" s="149">
        <v>36.01</v>
      </c>
      <c r="R260" s="143">
        <f t="shared" ref="R260" si="453">Q260/Q261-1</f>
        <v>2.3883992038669311E-2</v>
      </c>
    </row>
    <row r="261" spans="3:18" x14ac:dyDescent="0.3">
      <c r="C261" s="147">
        <v>44290</v>
      </c>
      <c r="E261" s="154">
        <v>4128.8</v>
      </c>
      <c r="F261" s="112">
        <f t="shared" si="393"/>
        <v>2.7097891225338122E-2</v>
      </c>
      <c r="G261" s="35"/>
      <c r="H261" s="149">
        <v>53.18</v>
      </c>
      <c r="I261" s="112">
        <f t="shared" si="393"/>
        <v>1.2759474385831249E-2</v>
      </c>
      <c r="J261" s="35"/>
      <c r="K261" s="149">
        <v>142.57</v>
      </c>
      <c r="L261" s="143">
        <f t="shared" ref="L261" si="454">K261/K262-1</f>
        <v>9.1308040770101684E-3</v>
      </c>
      <c r="M261" s="35"/>
      <c r="N261" s="149">
        <v>47.65</v>
      </c>
      <c r="O261" s="143">
        <f t="shared" si="391"/>
        <v>4.3126094570928197E-2</v>
      </c>
      <c r="P261" s="35"/>
      <c r="Q261" s="149">
        <v>35.17</v>
      </c>
      <c r="R261" s="143">
        <f t="shared" ref="R261" si="455">Q261/Q262-1</f>
        <v>1.9420289855072603E-2</v>
      </c>
    </row>
    <row r="262" spans="3:18" x14ac:dyDescent="0.3">
      <c r="C262" s="157" t="s">
        <v>310</v>
      </c>
      <c r="E262" s="154">
        <v>4019.87</v>
      </c>
      <c r="F262" s="112">
        <f t="shared" si="393"/>
        <v>1.140509341961593E-2</v>
      </c>
      <c r="G262" s="35"/>
      <c r="H262" s="149">
        <v>52.51</v>
      </c>
      <c r="I262" s="112">
        <f t="shared" si="393"/>
        <v>-9.9924585218703621E-3</v>
      </c>
      <c r="J262" s="35"/>
      <c r="K262" s="149">
        <v>141.28</v>
      </c>
      <c r="L262" s="143">
        <f t="shared" ref="L262" si="456">K262/K263-1</f>
        <v>-9.9509460406446149E-3</v>
      </c>
      <c r="M262" s="35"/>
      <c r="N262" s="149">
        <v>45.68</v>
      </c>
      <c r="O262" s="143">
        <f t="shared" si="391"/>
        <v>-3.2729653065677322E-3</v>
      </c>
      <c r="P262" s="35"/>
      <c r="Q262" s="149">
        <v>34.5</v>
      </c>
      <c r="R262" s="143">
        <f t="shared" ref="R262" si="457">Q262/Q263-1</f>
        <v>-2.0998864926220273E-2</v>
      </c>
    </row>
    <row r="263" spans="3:18" x14ac:dyDescent="0.3">
      <c r="C263" s="157" t="s">
        <v>311</v>
      </c>
      <c r="E263" s="154">
        <v>3974.54</v>
      </c>
      <c r="F263" s="112">
        <f t="shared" si="393"/>
        <v>1.570110653957224E-2</v>
      </c>
      <c r="G263" s="35"/>
      <c r="H263" s="149">
        <v>53.04</v>
      </c>
      <c r="I263" s="112">
        <f t="shared" si="393"/>
        <v>4.3888998228694964E-2</v>
      </c>
      <c r="J263" s="35"/>
      <c r="K263" s="149">
        <v>142.69999999999999</v>
      </c>
      <c r="L263" s="143">
        <f t="shared" ref="L263" si="458">K263/K264-1</f>
        <v>6.0966542750929387E-2</v>
      </c>
      <c r="M263" s="35"/>
      <c r="N263" s="149">
        <v>45.83</v>
      </c>
      <c r="O263" s="143">
        <f t="shared" si="391"/>
        <v>4.2538671519563254E-2</v>
      </c>
      <c r="P263" s="35"/>
      <c r="Q263" s="149">
        <v>35.24</v>
      </c>
      <c r="R263" s="143">
        <f t="shared" ref="R263" si="459">Q263/Q264-1</f>
        <v>3.2220269478617558E-2</v>
      </c>
    </row>
    <row r="264" spans="3:18" x14ac:dyDescent="0.3">
      <c r="C264" s="157" t="s">
        <v>312</v>
      </c>
      <c r="E264" s="154">
        <v>3913.1</v>
      </c>
      <c r="F264" s="112">
        <f t="shared" si="393"/>
        <v>-7.6686260885442392E-3</v>
      </c>
      <c r="G264" s="35"/>
      <c r="H264" s="149">
        <v>50.81</v>
      </c>
      <c r="I264" s="112">
        <f t="shared" si="393"/>
        <v>8.9356632247816759E-3</v>
      </c>
      <c r="J264" s="35"/>
      <c r="K264" s="149">
        <v>134.5</v>
      </c>
      <c r="L264" s="143">
        <f t="shared" ref="L264" si="460">K264/K265-1</f>
        <v>1.0974143114852675E-2</v>
      </c>
      <c r="M264" s="35"/>
      <c r="N264" s="149">
        <v>43.96</v>
      </c>
      <c r="O264" s="143">
        <f t="shared" si="391"/>
        <v>-1.1468405666741566E-2</v>
      </c>
      <c r="P264" s="35"/>
      <c r="Q264" s="149">
        <v>34.14</v>
      </c>
      <c r="R264" s="143">
        <f t="shared" ref="R264" si="461">Q264/Q265-1</f>
        <v>2.3074617920287865E-2</v>
      </c>
    </row>
    <row r="265" spans="3:18" x14ac:dyDescent="0.3">
      <c r="C265" s="147">
        <v>44380</v>
      </c>
      <c r="E265" s="154">
        <v>3943.34</v>
      </c>
      <c r="F265" s="112">
        <f t="shared" si="393"/>
        <v>2.6392916078856077E-2</v>
      </c>
      <c r="G265" s="35"/>
      <c r="H265" s="149">
        <v>50.36</v>
      </c>
      <c r="I265" s="112">
        <f t="shared" si="393"/>
        <v>-8.4662335105335496E-3</v>
      </c>
      <c r="J265" s="35"/>
      <c r="K265" s="149">
        <v>133.04</v>
      </c>
      <c r="L265" s="143">
        <f t="shared" ref="L265" si="462">K265/K266-1</f>
        <v>7.5171014056962804E-5</v>
      </c>
      <c r="M265" s="35"/>
      <c r="N265" s="149">
        <v>44.47</v>
      </c>
      <c r="O265" s="143">
        <f t="shared" si="391"/>
        <v>2.9159916685952192E-2</v>
      </c>
      <c r="P265" s="35"/>
      <c r="Q265" s="149">
        <v>33.369999999999997</v>
      </c>
      <c r="R265" s="143">
        <f t="shared" ref="R265" si="463">Q265/Q266-1</f>
        <v>5.8357120202981116E-2</v>
      </c>
    </row>
    <row r="266" spans="3:18" x14ac:dyDescent="0.3">
      <c r="C266" s="157" t="s">
        <v>313</v>
      </c>
      <c r="E266" s="154">
        <v>3841.94</v>
      </c>
      <c r="F266" s="112">
        <f t="shared" si="393"/>
        <v>8.0789263083320684E-3</v>
      </c>
      <c r="G266" s="35"/>
      <c r="H266" s="149">
        <v>50.79</v>
      </c>
      <c r="I266" s="112">
        <f t="shared" si="393"/>
        <v>3.6742192284139552E-2</v>
      </c>
      <c r="J266" s="35"/>
      <c r="K266" s="149">
        <v>133.03</v>
      </c>
      <c r="L266" s="143">
        <f t="shared" ref="L266" si="464">K266/K267-1</f>
        <v>2.9723662822199959E-2</v>
      </c>
      <c r="M266" s="35"/>
      <c r="N266" s="149">
        <v>43.21</v>
      </c>
      <c r="O266" s="143">
        <f t="shared" si="391"/>
        <v>-1.504444950991557E-2</v>
      </c>
      <c r="P266" s="35"/>
      <c r="Q266" s="149">
        <v>31.53</v>
      </c>
      <c r="R266" s="143">
        <f t="shared" ref="R266" si="465">Q266/Q267-1</f>
        <v>3.3093053735255618E-2</v>
      </c>
    </row>
    <row r="267" spans="3:18" x14ac:dyDescent="0.3">
      <c r="C267" s="157" t="s">
        <v>314</v>
      </c>
      <c r="E267" s="154">
        <v>3811.15</v>
      </c>
      <c r="F267" s="112">
        <f t="shared" si="393"/>
        <v>-2.4460479533930046E-2</v>
      </c>
      <c r="G267" s="35"/>
      <c r="H267" s="149">
        <v>48.99</v>
      </c>
      <c r="I267" s="112">
        <f t="shared" si="393"/>
        <v>-2.2350828178008375E-2</v>
      </c>
      <c r="J267" s="35"/>
      <c r="K267" s="149">
        <v>129.19</v>
      </c>
      <c r="L267" s="143">
        <f t="shared" ref="L267" si="466">K267/K268-1</f>
        <v>-2.5054712851860228E-2</v>
      </c>
      <c r="M267" s="35"/>
      <c r="N267" s="149">
        <v>43.87</v>
      </c>
      <c r="O267" s="143">
        <f t="shared" si="391"/>
        <v>-2.1414231541378559E-2</v>
      </c>
      <c r="P267" s="35"/>
      <c r="Q267" s="149">
        <v>30.52</v>
      </c>
      <c r="R267" s="143">
        <f t="shared" ref="R267" si="467">Q267/Q268-1</f>
        <v>-2.3047375160051176E-2</v>
      </c>
    </row>
    <row r="268" spans="3:18" x14ac:dyDescent="0.3">
      <c r="C268" s="157" t="s">
        <v>315</v>
      </c>
      <c r="E268" s="154">
        <v>3906.71</v>
      </c>
      <c r="F268" s="112">
        <f t="shared" si="393"/>
        <v>-7.1464332639529227E-3</v>
      </c>
      <c r="G268" s="35"/>
      <c r="H268" s="149">
        <v>50.11</v>
      </c>
      <c r="I268" s="112">
        <f t="shared" si="393"/>
        <v>-1.1442099033339925E-2</v>
      </c>
      <c r="J268" s="35"/>
      <c r="K268" s="149">
        <v>132.51</v>
      </c>
      <c r="L268" s="143">
        <f t="shared" ref="L268" si="468">K268/K269-1</f>
        <v>-1.0159109583924852E-2</v>
      </c>
      <c r="M268" s="35"/>
      <c r="N268" s="149">
        <v>44.83</v>
      </c>
      <c r="O268" s="143">
        <f t="shared" si="391"/>
        <v>-2.2672770874209713E-2</v>
      </c>
      <c r="P268" s="35"/>
      <c r="Q268" s="149">
        <v>31.24</v>
      </c>
      <c r="R268" s="143">
        <f t="shared" ref="R268" si="469">Q268/Q269-1</f>
        <v>-1.6682404784387872E-2</v>
      </c>
    </row>
    <row r="269" spans="3:18" x14ac:dyDescent="0.3">
      <c r="C269" s="147">
        <v>44379</v>
      </c>
      <c r="E269" s="154">
        <v>3934.83</v>
      </c>
      <c r="F269" s="112">
        <f t="shared" si="393"/>
        <v>1.2349395265550678E-2</v>
      </c>
      <c r="G269" s="35"/>
      <c r="H269" s="149">
        <v>50.69</v>
      </c>
      <c r="I269" s="112">
        <f t="shared" si="393"/>
        <v>2.0946626384692912E-2</v>
      </c>
      <c r="J269" s="35"/>
      <c r="K269" s="149">
        <v>133.87</v>
      </c>
      <c r="L269" s="143">
        <f t="shared" ref="L269" si="470">K269/K270-1</f>
        <v>-5.0297956867196403E-2</v>
      </c>
      <c r="M269" s="35"/>
      <c r="N269" s="149">
        <v>45.87</v>
      </c>
      <c r="O269" s="143">
        <f t="shared" si="391"/>
        <v>7.0252469813392171E-3</v>
      </c>
      <c r="P269" s="35"/>
      <c r="Q269" s="149">
        <v>31.77</v>
      </c>
      <c r="R269" s="143">
        <f t="shared" ref="R269" si="471">Q269/Q270-1</f>
        <v>-2.33630494927759E-2</v>
      </c>
    </row>
    <row r="270" spans="3:18" x14ac:dyDescent="0.3">
      <c r="C270" s="157" t="s">
        <v>316</v>
      </c>
      <c r="E270" s="154">
        <v>3886.83</v>
      </c>
      <c r="F270" s="112">
        <f t="shared" si="393"/>
        <v>4.6467110364435404E-2</v>
      </c>
      <c r="G270" s="35"/>
      <c r="H270" s="149">
        <v>49.65</v>
      </c>
      <c r="I270" s="112">
        <f t="shared" si="393"/>
        <v>3.1152647975077885E-2</v>
      </c>
      <c r="J270" s="35"/>
      <c r="K270" s="149">
        <v>140.96</v>
      </c>
      <c r="L270" s="143">
        <f t="shared" ref="L270" si="472">K270/K271-1</f>
        <v>3.2144687705938368E-2</v>
      </c>
      <c r="M270" s="35"/>
      <c r="N270" s="149">
        <v>45.55</v>
      </c>
      <c r="O270" s="143">
        <f t="shared" si="391"/>
        <v>4.9055734684477104E-2</v>
      </c>
      <c r="P270" s="35"/>
      <c r="Q270" s="149">
        <v>32.53</v>
      </c>
      <c r="R270" s="143">
        <f t="shared" ref="R270" si="473">Q270/Q271-1</f>
        <v>2.2955974842767235E-2</v>
      </c>
    </row>
    <row r="271" spans="3:18" x14ac:dyDescent="0.3">
      <c r="C271" s="157" t="s">
        <v>317</v>
      </c>
      <c r="E271" s="154">
        <v>3714.24</v>
      </c>
      <c r="F271" s="112">
        <f t="shared" si="393"/>
        <v>-3.3120133698818388E-2</v>
      </c>
      <c r="G271" s="35"/>
      <c r="H271" s="149">
        <v>48.15</v>
      </c>
      <c r="I271" s="112">
        <f t="shared" si="393"/>
        <v>-7.0117550010312391E-3</v>
      </c>
      <c r="J271" s="35"/>
      <c r="K271" s="149">
        <v>136.57</v>
      </c>
      <c r="L271" s="143">
        <f t="shared" ref="L271" si="474">K271/K272-1</f>
        <v>-1.4575366188036676E-2</v>
      </c>
      <c r="M271" s="35"/>
      <c r="N271" s="149">
        <v>43.42</v>
      </c>
      <c r="O271" s="143">
        <f t="shared" si="391"/>
        <v>-1.5419501133786873E-2</v>
      </c>
      <c r="P271" s="35"/>
      <c r="Q271" s="149">
        <v>31.8</v>
      </c>
      <c r="R271" s="143">
        <f t="shared" ref="R271" si="475">Q271/Q272-1</f>
        <v>1.048617731172552E-2</v>
      </c>
    </row>
    <row r="272" spans="3:18" x14ac:dyDescent="0.3">
      <c r="C272" s="157" t="s">
        <v>318</v>
      </c>
      <c r="E272" s="154">
        <v>3841.47</v>
      </c>
      <c r="F272" s="112">
        <f t="shared" si="393"/>
        <v>1.9430770251442908E-2</v>
      </c>
      <c r="G272" s="35"/>
      <c r="H272" s="149">
        <v>48.49</v>
      </c>
      <c r="I272" s="112">
        <f t="shared" si="393"/>
        <v>-4.3121149897330513E-3</v>
      </c>
      <c r="J272" s="35"/>
      <c r="K272" s="149">
        <v>138.59</v>
      </c>
      <c r="L272" s="143">
        <f t="shared" ref="L272" si="476">K272/K273-1</f>
        <v>-1.9803380719994212E-2</v>
      </c>
      <c r="M272" s="35"/>
      <c r="N272" s="149">
        <v>44.1</v>
      </c>
      <c r="O272" s="143">
        <f t="shared" si="391"/>
        <v>-3.7748199869081289E-2</v>
      </c>
      <c r="P272" s="35"/>
      <c r="Q272" s="149">
        <v>31.47</v>
      </c>
      <c r="R272" s="143">
        <f t="shared" ref="R272" si="477">Q272/Q273-1</f>
        <v>-1.2241054613935987E-2</v>
      </c>
    </row>
    <row r="273" spans="3:18" x14ac:dyDescent="0.3">
      <c r="C273" s="147">
        <v>44470</v>
      </c>
      <c r="E273" s="154">
        <v>3768.25</v>
      </c>
      <c r="F273" s="112">
        <f t="shared" si="393"/>
        <v>-1.4754175512722623E-2</v>
      </c>
      <c r="G273" s="35"/>
      <c r="H273" s="149">
        <v>48.7</v>
      </c>
      <c r="I273" s="112">
        <f t="shared" si="393"/>
        <v>-4.6593578700078186E-2</v>
      </c>
      <c r="J273" s="35"/>
      <c r="K273" s="149">
        <v>141.38999999999999</v>
      </c>
      <c r="L273" s="143">
        <f t="shared" ref="L273" si="478">K273/K274-1</f>
        <v>-1.9350811485643105E-2</v>
      </c>
      <c r="M273" s="35"/>
      <c r="N273" s="149">
        <v>45.83</v>
      </c>
      <c r="O273" s="143">
        <f t="shared" si="391"/>
        <v>-3.4954727311012901E-2</v>
      </c>
      <c r="P273" s="35"/>
      <c r="Q273" s="149">
        <v>31.86</v>
      </c>
      <c r="R273" s="143">
        <f t="shared" ref="R273" si="479">Q273/Q274-1</f>
        <v>-4.3750000000000178E-3</v>
      </c>
    </row>
    <row r="274" spans="3:18" x14ac:dyDescent="0.3">
      <c r="C274" s="147">
        <v>44256</v>
      </c>
      <c r="E274" s="154">
        <v>3824.68</v>
      </c>
      <c r="F274" s="112">
        <f t="shared" si="393"/>
        <v>1.8266432734214133E-2</v>
      </c>
      <c r="G274" s="35"/>
      <c r="H274" s="149">
        <v>51.08</v>
      </c>
      <c r="I274" s="112">
        <f t="shared" si="393"/>
        <v>-6.8563092633114553E-2</v>
      </c>
      <c r="J274" s="35"/>
      <c r="K274" s="149">
        <v>144.18</v>
      </c>
      <c r="L274" s="143">
        <f t="shared" ref="L274" si="480">K274/K275-1</f>
        <v>-2.7781523937963626E-2</v>
      </c>
      <c r="M274" s="35"/>
      <c r="N274" s="149">
        <v>47.49</v>
      </c>
      <c r="O274" s="143">
        <f t="shared" si="391"/>
        <v>2.7032871972318295E-2</v>
      </c>
      <c r="P274" s="35"/>
      <c r="Q274" s="149">
        <v>32</v>
      </c>
      <c r="R274" s="143">
        <f t="shared" ref="R274" si="481">Q274/Q275-1</f>
        <v>0</v>
      </c>
    </row>
    <row r="275" spans="3:18" x14ac:dyDescent="0.3">
      <c r="C275" s="157" t="s">
        <v>319</v>
      </c>
      <c r="E275" s="154">
        <v>3756.07</v>
      </c>
      <c r="F275" s="112">
        <f t="shared" si="393"/>
        <v>1.4315187979671018E-2</v>
      </c>
      <c r="G275" s="35"/>
      <c r="H275" s="149">
        <v>54.84</v>
      </c>
      <c r="I275" s="112">
        <f t="shared" si="393"/>
        <v>2.6197604790419327E-2</v>
      </c>
      <c r="J275" s="35"/>
      <c r="K275" s="149">
        <v>148.30000000000001</v>
      </c>
      <c r="L275" s="143">
        <f t="shared" ref="L275" si="482">K275/K276-1</f>
        <v>2.2335585275058634E-2</v>
      </c>
      <c r="M275" s="35"/>
      <c r="N275" s="149">
        <v>46.24</v>
      </c>
      <c r="O275" s="143">
        <f t="shared" si="391"/>
        <v>2.984409799554566E-2</v>
      </c>
      <c r="P275" s="35"/>
      <c r="Q275" s="149">
        <v>32</v>
      </c>
      <c r="R275" s="143">
        <f t="shared" ref="R275" si="483">Q275/Q276-1</f>
        <v>3.7641154328733606E-3</v>
      </c>
    </row>
    <row r="276" spans="3:18" x14ac:dyDescent="0.3">
      <c r="C276" s="157" t="s">
        <v>320</v>
      </c>
      <c r="E276" s="154">
        <v>3703.06</v>
      </c>
      <c r="F276" s="112">
        <f t="shared" si="393"/>
        <v>-1.7118625333947257E-3</v>
      </c>
      <c r="G276" s="35"/>
      <c r="H276" s="149">
        <v>53.44</v>
      </c>
      <c r="I276" s="112">
        <f t="shared" si="393"/>
        <v>-5.5824339411983948E-3</v>
      </c>
      <c r="J276" s="35"/>
      <c r="K276" s="149">
        <v>145.06</v>
      </c>
      <c r="L276" s="143">
        <f t="shared" ref="L276" si="484">K276/K277-1</f>
        <v>-1.2727148982508707E-2</v>
      </c>
      <c r="M276" s="35"/>
      <c r="N276" s="149">
        <v>44.9</v>
      </c>
      <c r="O276" s="143">
        <f t="shared" si="391"/>
        <v>-3.5508211273858059E-3</v>
      </c>
      <c r="P276" s="35"/>
      <c r="Q276" s="149">
        <v>31.88</v>
      </c>
      <c r="R276" s="143">
        <f t="shared" ref="R276" si="485">Q276/Q277-1</f>
        <v>3.0714516650501178E-2</v>
      </c>
    </row>
    <row r="277" spans="3:18" x14ac:dyDescent="0.3">
      <c r="C277" s="157" t="s">
        <v>321</v>
      </c>
      <c r="E277" s="154">
        <v>3709.41</v>
      </c>
      <c r="F277" s="112">
        <f t="shared" si="393"/>
        <v>1.2542787419543178E-2</v>
      </c>
      <c r="G277" s="35"/>
      <c r="H277" s="149">
        <v>53.74</v>
      </c>
      <c r="I277" s="112">
        <f t="shared" si="393"/>
        <v>7.3102155576383332E-3</v>
      </c>
      <c r="J277" s="35"/>
      <c r="K277" s="149">
        <v>146.93</v>
      </c>
      <c r="L277" s="143">
        <f t="shared" ref="L277" si="486">K277/K278-1</f>
        <v>1.3520038628681785E-2</v>
      </c>
      <c r="M277" s="35"/>
      <c r="N277" s="149">
        <v>45.06</v>
      </c>
      <c r="O277" s="143">
        <f t="shared" si="391"/>
        <v>2.3858214042263182E-2</v>
      </c>
      <c r="P277" s="35"/>
      <c r="Q277" s="149">
        <v>30.93</v>
      </c>
      <c r="R277" s="143">
        <f t="shared" ref="R277" si="487">Q277/Q278-1</f>
        <v>1.8774703557312256E-2</v>
      </c>
    </row>
    <row r="278" spans="3:18" x14ac:dyDescent="0.3">
      <c r="C278" s="147">
        <v>43994</v>
      </c>
      <c r="E278" s="154">
        <v>3663.46</v>
      </c>
      <c r="F278" s="112">
        <f t="shared" si="393"/>
        <v>-9.6401306256622687E-3</v>
      </c>
      <c r="G278" s="35"/>
      <c r="H278" s="149">
        <v>53.35</v>
      </c>
      <c r="I278" s="112">
        <f t="shared" si="393"/>
        <v>-9.2850510677808806E-3</v>
      </c>
      <c r="J278" s="35"/>
      <c r="K278" s="149">
        <v>144.97</v>
      </c>
      <c r="L278" s="143">
        <f t="shared" ref="L278" si="488">K278/K279-1</f>
        <v>-6.0335961604387478E-3</v>
      </c>
      <c r="M278" s="35"/>
      <c r="N278" s="149">
        <v>44.01</v>
      </c>
      <c r="O278" s="143">
        <f t="shared" si="391"/>
        <v>6.6331198536138114E-3</v>
      </c>
      <c r="P278" s="35"/>
      <c r="Q278" s="149">
        <v>30.36</v>
      </c>
      <c r="R278" s="143">
        <f t="shared" ref="R278" si="489">Q278/Q279-1</f>
        <v>-5.568293481821196E-3</v>
      </c>
    </row>
    <row r="279" spans="3:18" x14ac:dyDescent="0.3">
      <c r="C279" s="157" t="s">
        <v>322</v>
      </c>
      <c r="E279" s="154">
        <v>3699.12</v>
      </c>
      <c r="F279" s="112">
        <f t="shared" si="393"/>
        <v>1.6702626190443493E-2</v>
      </c>
      <c r="G279" s="35"/>
      <c r="H279" s="149">
        <v>53.85</v>
      </c>
      <c r="I279" s="112">
        <f t="shared" si="393"/>
        <v>2.182163187855779E-2</v>
      </c>
      <c r="J279" s="35"/>
      <c r="K279" s="149">
        <v>145.85</v>
      </c>
      <c r="L279" s="143">
        <f t="shared" ref="L279" si="490">K279/K280-1</f>
        <v>8.6445366528353773E-3</v>
      </c>
      <c r="M279" s="35"/>
      <c r="N279" s="149">
        <v>43.72</v>
      </c>
      <c r="O279" s="143">
        <f t="shared" si="391"/>
        <v>3.8973384030418279E-2</v>
      </c>
      <c r="P279" s="35"/>
      <c r="Q279" s="149">
        <v>30.53</v>
      </c>
      <c r="R279" s="143">
        <f t="shared" ref="R279" si="491">Q279/Q280-1</f>
        <v>-7.4772431729519528E-3</v>
      </c>
    </row>
    <row r="280" spans="3:18" x14ac:dyDescent="0.3">
      <c r="C280" s="157" t="s">
        <v>323</v>
      </c>
      <c r="E280" s="154">
        <v>3638.35</v>
      </c>
      <c r="F280" s="112">
        <f t="shared" si="393"/>
        <v>2.2715134615492794E-2</v>
      </c>
      <c r="G280" s="35"/>
      <c r="H280" s="149">
        <v>52.7</v>
      </c>
      <c r="I280" s="112">
        <f t="shared" si="393"/>
        <v>5.6958420353137029E-4</v>
      </c>
      <c r="J280" s="35"/>
      <c r="K280" s="149">
        <v>144.6</v>
      </c>
      <c r="L280" s="143">
        <f t="shared" ref="L280" si="492">K280/K281-1</f>
        <v>8.2275833217124728E-3</v>
      </c>
      <c r="M280" s="35"/>
      <c r="N280" s="149">
        <v>42.08</v>
      </c>
      <c r="O280" s="143">
        <f t="shared" si="391"/>
        <v>7.6628352490422103E-3</v>
      </c>
      <c r="P280" s="35"/>
      <c r="Q280" s="149">
        <v>30.76</v>
      </c>
      <c r="R280" s="143">
        <f t="shared" ref="R280" si="493">Q280/Q281-1</f>
        <v>3.1176667784110101E-2</v>
      </c>
    </row>
    <row r="281" spans="3:18" x14ac:dyDescent="0.3">
      <c r="C281" s="157" t="s">
        <v>324</v>
      </c>
      <c r="E281" s="154">
        <v>3557.54</v>
      </c>
      <c r="F281" s="112">
        <f t="shared" si="393"/>
        <v>-7.7012119437123161E-3</v>
      </c>
      <c r="G281" s="35"/>
      <c r="H281" s="149">
        <v>52.67</v>
      </c>
      <c r="I281" s="112">
        <f t="shared" si="393"/>
        <v>-1.4593077642656715E-2</v>
      </c>
      <c r="J281" s="35"/>
      <c r="K281" s="149">
        <v>143.41999999999999</v>
      </c>
      <c r="L281" s="143">
        <f t="shared" ref="L281" si="494">K281/K282-1</f>
        <v>-8.9143804851082864E-3</v>
      </c>
      <c r="M281" s="35"/>
      <c r="N281" s="149">
        <v>41.76</v>
      </c>
      <c r="O281" s="143">
        <f t="shared" si="391"/>
        <v>-5.9509640561771215E-3</v>
      </c>
      <c r="P281" s="35"/>
      <c r="Q281" s="149">
        <v>29.83</v>
      </c>
      <c r="R281" s="143">
        <f t="shared" ref="R281" si="495">Q281/Q282-1</f>
        <v>1.8088737201365168E-2</v>
      </c>
    </row>
    <row r="282" spans="3:18" x14ac:dyDescent="0.3">
      <c r="C282" s="147">
        <v>44054</v>
      </c>
      <c r="E282" s="154">
        <v>3585.15</v>
      </c>
      <c r="F282" s="112">
        <f t="shared" si="393"/>
        <v>2.1573242454636654E-2</v>
      </c>
      <c r="G282" s="35"/>
      <c r="H282" s="149">
        <v>53.45</v>
      </c>
      <c r="I282" s="112">
        <f t="shared" si="393"/>
        <v>8.0889787664307322E-2</v>
      </c>
      <c r="J282" s="35"/>
      <c r="K282" s="149">
        <v>144.71</v>
      </c>
      <c r="L282" s="143">
        <f t="shared" ref="L282" si="496">K282/K283-1</f>
        <v>4.5743604567134E-2</v>
      </c>
      <c r="M282" s="35"/>
      <c r="N282" s="149">
        <v>42.01</v>
      </c>
      <c r="O282" s="143">
        <f t="shared" si="391"/>
        <v>9.1280326687483981E-3</v>
      </c>
      <c r="P282" s="35"/>
      <c r="Q282" s="149">
        <v>29.3</v>
      </c>
      <c r="R282" s="143">
        <f t="shared" ref="R282" si="497">Q282/Q283-1</f>
        <v>2.2330774598743997E-2</v>
      </c>
    </row>
    <row r="283" spans="3:18" x14ac:dyDescent="0.3">
      <c r="C283" s="147">
        <v>43841</v>
      </c>
      <c r="E283" s="154">
        <v>3509.44</v>
      </c>
      <c r="F283" s="112">
        <f t="shared" si="393"/>
        <v>7.3236369863851625E-2</v>
      </c>
      <c r="G283" s="35"/>
      <c r="H283" s="149">
        <v>49.45</v>
      </c>
      <c r="I283" s="112">
        <f t="shared" si="393"/>
        <v>2.89221806075739E-2</v>
      </c>
      <c r="J283" s="35"/>
      <c r="K283" s="149">
        <v>138.38</v>
      </c>
      <c r="L283" s="143">
        <f t="shared" ref="L283" si="498">K283/K284-1</f>
        <v>3.8187410908545383E-2</v>
      </c>
      <c r="M283" s="35"/>
      <c r="N283" s="149">
        <v>41.63</v>
      </c>
      <c r="O283" s="143">
        <f t="shared" si="391"/>
        <v>8.7513061650992707E-2</v>
      </c>
      <c r="P283" s="35"/>
      <c r="Q283" s="149">
        <v>28.66</v>
      </c>
      <c r="R283" s="143">
        <f t="shared" ref="R283" si="499">Q283/Q284-1</f>
        <v>6.5427509293680464E-2</v>
      </c>
    </row>
    <row r="284" spans="3:18" x14ac:dyDescent="0.3">
      <c r="C284" s="157" t="s">
        <v>325</v>
      </c>
      <c r="E284" s="154">
        <v>3269.96</v>
      </c>
      <c r="F284" s="112">
        <f t="shared" si="393"/>
        <v>-5.6394806933707242E-2</v>
      </c>
      <c r="G284" s="35"/>
      <c r="H284" s="149">
        <v>48.06</v>
      </c>
      <c r="I284" s="112">
        <f t="shared" si="393"/>
        <v>-4.8693586698337343E-2</v>
      </c>
      <c r="J284" s="35"/>
      <c r="K284" s="149">
        <v>133.29</v>
      </c>
      <c r="L284" s="143">
        <f t="shared" ref="L284" si="500">K284/K285-1</f>
        <v>-4.492691315563202E-2</v>
      </c>
      <c r="M284" s="35"/>
      <c r="N284" s="149">
        <v>38.28</v>
      </c>
      <c r="O284" s="143">
        <f t="shared" si="391"/>
        <v>-4.7524259766110855E-2</v>
      </c>
      <c r="P284" s="35"/>
      <c r="Q284" s="149">
        <v>26.9</v>
      </c>
      <c r="R284" s="143">
        <f t="shared" ref="R284" si="501">Q284/Q285-1</f>
        <v>-7.9082505991099006E-2</v>
      </c>
    </row>
    <row r="285" spans="3:18" x14ac:dyDescent="0.3">
      <c r="C285" s="157" t="s">
        <v>326</v>
      </c>
      <c r="E285" s="154">
        <v>3465.39</v>
      </c>
      <c r="F285" s="112">
        <f t="shared" si="393"/>
        <v>-5.2873147502303652E-3</v>
      </c>
      <c r="G285" s="35"/>
      <c r="H285" s="149">
        <v>50.52</v>
      </c>
      <c r="I285" s="112">
        <f t="shared" si="393"/>
        <v>9.7941235258844905E-3</v>
      </c>
      <c r="J285" s="35"/>
      <c r="K285" s="149">
        <v>139.56</v>
      </c>
      <c r="L285" s="143">
        <f t="shared" ref="L285" si="502">K285/K286-1</f>
        <v>-1.5310802229591358E-2</v>
      </c>
      <c r="M285" s="35"/>
      <c r="N285" s="149">
        <v>40.19</v>
      </c>
      <c r="O285" s="143">
        <f t="shared" si="391"/>
        <v>-4.7052996532938041E-3</v>
      </c>
      <c r="P285" s="35"/>
      <c r="Q285" s="149">
        <v>29.21</v>
      </c>
      <c r="R285" s="143">
        <f t="shared" ref="R285" si="503">Q285/Q286-1</f>
        <v>-1.8481182795698992E-2</v>
      </c>
    </row>
    <row r="286" spans="3:18" x14ac:dyDescent="0.3">
      <c r="C286" s="147">
        <v>44145</v>
      </c>
      <c r="E286" s="154">
        <v>3483.81</v>
      </c>
      <c r="F286" s="112">
        <f t="shared" si="393"/>
        <v>1.9211246056374254E-3</v>
      </c>
      <c r="G286" s="35"/>
      <c r="H286" s="149">
        <v>50.03</v>
      </c>
      <c r="I286" s="112">
        <f t="shared" si="393"/>
        <v>-1.5351308797480812E-2</v>
      </c>
      <c r="J286" s="35"/>
      <c r="K286" s="149">
        <v>141.72999999999999</v>
      </c>
      <c r="L286" s="143">
        <f t="shared" ref="L286" si="504">K286/K287-1</f>
        <v>2.3764807859000259E-2</v>
      </c>
      <c r="M286" s="35"/>
      <c r="N286" s="149">
        <v>40.380000000000003</v>
      </c>
      <c r="O286" s="143">
        <f t="shared" si="391"/>
        <v>-2.2238695329872549E-3</v>
      </c>
      <c r="P286" s="35"/>
      <c r="Q286" s="149">
        <v>29.76</v>
      </c>
      <c r="R286" s="143">
        <f t="shared" ref="R286" si="505">Q286/Q287-1</f>
        <v>1.7435897435897463E-2</v>
      </c>
    </row>
    <row r="287" spans="3:18" x14ac:dyDescent="0.3">
      <c r="C287" s="147">
        <v>43931</v>
      </c>
      <c r="E287" s="154">
        <v>3477.13</v>
      </c>
      <c r="F287" s="112">
        <f t="shared" si="393"/>
        <v>3.8432822448662751E-2</v>
      </c>
      <c r="G287" s="35"/>
      <c r="H287" s="149">
        <v>50.81</v>
      </c>
      <c r="I287" s="112">
        <f t="shared" si="393"/>
        <v>2.9376012965964371E-2</v>
      </c>
      <c r="J287" s="35"/>
      <c r="K287" s="149">
        <v>138.44</v>
      </c>
      <c r="L287" s="143">
        <f t="shared" ref="L287" si="506">K287/K288-1</f>
        <v>2.7524264812399668E-3</v>
      </c>
      <c r="M287" s="35"/>
      <c r="N287" s="149">
        <v>40.47</v>
      </c>
      <c r="O287" s="143">
        <f t="shared" si="391"/>
        <v>1.7345399698340813E-2</v>
      </c>
      <c r="P287" s="35"/>
      <c r="Q287" s="149">
        <v>29.25</v>
      </c>
      <c r="R287" s="143">
        <f t="shared" ref="R287" si="507">Q287/Q288-1</f>
        <v>4.129583481666077E-2</v>
      </c>
    </row>
    <row r="288" spans="3:18" x14ac:dyDescent="0.3">
      <c r="C288" s="157" t="s">
        <v>327</v>
      </c>
      <c r="E288" s="154">
        <v>3348.44</v>
      </c>
      <c r="F288" s="112">
        <f t="shared" si="393"/>
        <v>1.5152525724125843E-2</v>
      </c>
      <c r="G288" s="35"/>
      <c r="H288" s="149">
        <v>49.36</v>
      </c>
      <c r="I288" s="112">
        <f t="shared" si="393"/>
        <v>1.3136288998357948E-2</v>
      </c>
      <c r="J288" s="35"/>
      <c r="K288" s="149">
        <v>138.06</v>
      </c>
      <c r="L288" s="143">
        <f t="shared" ref="L288" si="508">K288/K289-1</f>
        <v>3.3770123549232478E-2</v>
      </c>
      <c r="M288" s="35"/>
      <c r="N288" s="149">
        <v>39.78</v>
      </c>
      <c r="O288" s="143">
        <f t="shared" si="391"/>
        <v>9.6446700507615279E-3</v>
      </c>
      <c r="P288" s="35"/>
      <c r="Q288" s="149">
        <v>28.09</v>
      </c>
      <c r="R288" s="143">
        <f t="shared" ref="R288" si="509">Q288/Q289-1</f>
        <v>7.5322812051650256E-3</v>
      </c>
    </row>
    <row r="289" spans="3:18" x14ac:dyDescent="0.3">
      <c r="C289" s="157" t="s">
        <v>328</v>
      </c>
      <c r="E289" s="154">
        <v>3298.46</v>
      </c>
      <c r="F289" s="112">
        <f t="shared" si="393"/>
        <v>-6.3293236570897138E-3</v>
      </c>
      <c r="G289" s="35"/>
      <c r="H289" s="149">
        <v>48.72</v>
      </c>
      <c r="I289" s="112">
        <f t="shared" si="393"/>
        <v>-3.4291377601585848E-2</v>
      </c>
      <c r="J289" s="35"/>
      <c r="K289" s="149">
        <v>133.55000000000001</v>
      </c>
      <c r="L289" s="143">
        <f t="shared" ref="L289" si="510">K289/K290-1</f>
        <v>1.5821099870693134E-2</v>
      </c>
      <c r="M289" s="35"/>
      <c r="N289" s="149">
        <v>39.4</v>
      </c>
      <c r="O289" s="143">
        <f t="shared" si="391"/>
        <v>-2.2790579893644525E-3</v>
      </c>
      <c r="P289" s="35"/>
      <c r="Q289" s="149">
        <v>27.88</v>
      </c>
      <c r="R289" s="143">
        <f t="shared" ref="R289" si="511">Q289/Q290-1</f>
        <v>-6.0606060606060996E-3</v>
      </c>
    </row>
    <row r="290" spans="3:18" x14ac:dyDescent="0.3">
      <c r="C290" s="157" t="s">
        <v>329</v>
      </c>
      <c r="E290" s="154">
        <v>3319.47</v>
      </c>
      <c r="F290" s="112">
        <f t="shared" si="393"/>
        <v>-6.4352568266102805E-3</v>
      </c>
      <c r="G290" s="35"/>
      <c r="H290" s="149">
        <v>50.45</v>
      </c>
      <c r="I290" s="112">
        <f t="shared" si="393"/>
        <v>-1.1946729338033646E-2</v>
      </c>
      <c r="J290" s="35"/>
      <c r="K290" s="149">
        <v>131.47</v>
      </c>
      <c r="L290" s="143">
        <f t="shared" ref="L290" si="512">K290/K291-1</f>
        <v>-3.1956409690008125E-2</v>
      </c>
      <c r="M290" s="35"/>
      <c r="N290" s="149">
        <v>39.49</v>
      </c>
      <c r="O290" s="143">
        <f t="shared" si="391"/>
        <v>-2.901401524465208E-2</v>
      </c>
      <c r="P290" s="35"/>
      <c r="Q290" s="149">
        <v>28.05</v>
      </c>
      <c r="R290" s="143">
        <f t="shared" ref="R290" si="513">Q290/Q291-1</f>
        <v>-2.7055150884495283E-2</v>
      </c>
    </row>
    <row r="291" spans="3:18" x14ac:dyDescent="0.3">
      <c r="C291" s="147">
        <v>43991</v>
      </c>
      <c r="E291" s="154">
        <v>3340.97</v>
      </c>
      <c r="F291" s="112">
        <f t="shared" si="393"/>
        <v>-2.5092210005369209E-2</v>
      </c>
      <c r="G291" s="35"/>
      <c r="H291" s="149">
        <v>51.06</v>
      </c>
      <c r="I291" s="112">
        <f t="shared" si="393"/>
        <v>3.9184952978055243E-4</v>
      </c>
      <c r="J291" s="35"/>
      <c r="K291" s="149">
        <v>135.81</v>
      </c>
      <c r="L291" s="143">
        <f t="shared" ref="L291" si="514">K291/K292-1</f>
        <v>-2.1259729028538454E-2</v>
      </c>
      <c r="M291" s="35"/>
      <c r="N291" s="149">
        <v>40.67</v>
      </c>
      <c r="O291" s="143">
        <f t="shared" si="391"/>
        <v>-1.1184050571359072E-2</v>
      </c>
      <c r="P291" s="35"/>
      <c r="Q291" s="149">
        <v>28.83</v>
      </c>
      <c r="R291" s="143">
        <f t="shared" ref="R291" si="515">Q291/Q292-1</f>
        <v>-2.403520649966151E-2</v>
      </c>
    </row>
    <row r="292" spans="3:18" x14ac:dyDescent="0.3">
      <c r="C292" s="157" t="s">
        <v>330</v>
      </c>
      <c r="E292" s="154">
        <v>3426.96</v>
      </c>
      <c r="F292" s="112">
        <f t="shared" si="393"/>
        <v>-2.3104267091598962E-2</v>
      </c>
      <c r="G292" s="35"/>
      <c r="H292" s="149">
        <v>51.04</v>
      </c>
      <c r="I292" s="112">
        <f t="shared" si="393"/>
        <v>2.428256070640189E-2</v>
      </c>
      <c r="J292" s="35"/>
      <c r="K292" s="149">
        <v>138.76</v>
      </c>
      <c r="L292" s="143">
        <f t="shared" ref="L292" si="516">K292/K293-1</f>
        <v>-8.4321852222380977E-3</v>
      </c>
      <c r="M292" s="35"/>
      <c r="N292" s="149">
        <v>41.13</v>
      </c>
      <c r="O292" s="143">
        <f t="shared" si="391"/>
        <v>-2.6969481902058168E-2</v>
      </c>
      <c r="P292" s="35"/>
      <c r="Q292" s="149">
        <v>29.54</v>
      </c>
      <c r="R292" s="143">
        <f t="shared" ref="R292" si="517">Q292/Q293-1</f>
        <v>-1.7625540405720064E-2</v>
      </c>
    </row>
    <row r="293" spans="3:18" x14ac:dyDescent="0.3">
      <c r="C293" s="157" t="s">
        <v>331</v>
      </c>
      <c r="E293" s="154">
        <v>3508.01</v>
      </c>
      <c r="F293" s="112">
        <f t="shared" si="393"/>
        <v>3.2630196988072457E-2</v>
      </c>
      <c r="G293" s="35"/>
      <c r="H293" s="149">
        <v>49.83</v>
      </c>
      <c r="I293" s="112">
        <f t="shared" si="393"/>
        <v>5.3934010152284273E-2</v>
      </c>
      <c r="J293" s="35"/>
      <c r="K293" s="149">
        <v>139.94</v>
      </c>
      <c r="L293" s="143">
        <f t="shared" ref="L293" si="518">K293/K294-1</f>
        <v>2.5501978601788045E-2</v>
      </c>
      <c r="M293" s="35"/>
      <c r="N293" s="149">
        <v>42.27</v>
      </c>
      <c r="O293" s="143">
        <f t="shared" si="391"/>
        <v>2.1754894851341744E-2</v>
      </c>
      <c r="P293" s="35"/>
      <c r="Q293" s="149">
        <v>30.07</v>
      </c>
      <c r="R293" s="143">
        <f t="shared" ref="R293" si="519">Q293/Q294-1</f>
        <v>3.9405461458693392E-2</v>
      </c>
    </row>
    <row r="294" spans="3:18" x14ac:dyDescent="0.3">
      <c r="C294" s="157" t="s">
        <v>332</v>
      </c>
      <c r="E294" s="154">
        <v>3397.16</v>
      </c>
      <c r="F294" s="112">
        <f t="shared" si="393"/>
        <v>7.2075544420890925E-3</v>
      </c>
      <c r="G294" s="35"/>
      <c r="H294" s="149">
        <v>47.28</v>
      </c>
      <c r="I294" s="112">
        <f t="shared" si="393"/>
        <v>-2.4148606811145501E-2</v>
      </c>
      <c r="J294" s="35"/>
      <c r="K294" s="149">
        <v>136.46</v>
      </c>
      <c r="L294" s="143">
        <f t="shared" ref="L294" si="520">K294/K295-1</f>
        <v>-7.9965106135504449E-3</v>
      </c>
      <c r="M294" s="35"/>
      <c r="N294" s="149">
        <v>41.37</v>
      </c>
      <c r="O294" s="143">
        <f t="shared" ref="O294:O297" si="521">N294/N295-1</f>
        <v>-6.9611137782045196E-3</v>
      </c>
      <c r="P294" s="35"/>
      <c r="Q294" s="149">
        <v>28.93</v>
      </c>
      <c r="R294" s="143">
        <f t="shared" ref="R294" si="522">Q294/Q295-1</f>
        <v>-3.2117765138842458E-2</v>
      </c>
    </row>
    <row r="295" spans="3:18" x14ac:dyDescent="0.3">
      <c r="C295" s="147">
        <v>44082</v>
      </c>
      <c r="E295" s="154">
        <v>3372.85</v>
      </c>
      <c r="F295" s="112">
        <f t="shared" ref="F295:I297" si="523">E295/E296-1</f>
        <v>6.4363467093169202E-3</v>
      </c>
      <c r="G295" s="35"/>
      <c r="H295" s="149">
        <v>48.45</v>
      </c>
      <c r="I295" s="112">
        <f t="shared" si="523"/>
        <v>1.3598326359832713E-2</v>
      </c>
      <c r="J295" s="35"/>
      <c r="K295" s="149">
        <v>137.56</v>
      </c>
      <c r="L295" s="143">
        <f t="shared" ref="L295" si="524">K295/K296-1</f>
        <v>5.9967822144215699E-3</v>
      </c>
      <c r="M295" s="35"/>
      <c r="N295" s="149">
        <v>41.66</v>
      </c>
      <c r="O295" s="143">
        <f t="shared" si="521"/>
        <v>1.4423076923075762E-3</v>
      </c>
      <c r="P295" s="35"/>
      <c r="Q295" s="149">
        <v>29.89</v>
      </c>
      <c r="R295" s="143">
        <f t="shared" ref="R295" si="525">Q295/Q296-1</f>
        <v>8.7748903138711309E-3</v>
      </c>
    </row>
    <row r="296" spans="3:18" x14ac:dyDescent="0.3">
      <c r="C296" s="147">
        <v>43869</v>
      </c>
      <c r="E296" s="154">
        <v>3351.28</v>
      </c>
      <c r="F296" s="112">
        <f t="shared" si="523"/>
        <v>2.4505368191934274E-2</v>
      </c>
      <c r="G296" s="35"/>
      <c r="H296" s="149">
        <v>47.8</v>
      </c>
      <c r="I296" s="112">
        <f t="shared" si="523"/>
        <v>1.1854360711261558E-2</v>
      </c>
      <c r="J296" s="35"/>
      <c r="K296" s="149">
        <v>136.74</v>
      </c>
      <c r="L296" s="143">
        <f t="shared" ref="L296" si="526">K296/K297-1</f>
        <v>-6.68313235507767E-3</v>
      </c>
      <c r="M296" s="35"/>
      <c r="N296" s="149">
        <v>41.6</v>
      </c>
      <c r="O296" s="143">
        <f t="shared" si="521"/>
        <v>6.0142711518858194E-2</v>
      </c>
      <c r="P296" s="35"/>
      <c r="Q296" s="149">
        <v>29.63</v>
      </c>
      <c r="R296" s="143">
        <f t="shared" ref="R296" si="527">Q296/Q297-1</f>
        <v>-3.1382804838182454E-2</v>
      </c>
    </row>
    <row r="297" spans="3:18" x14ac:dyDescent="0.3">
      <c r="C297" s="157" t="s">
        <v>333</v>
      </c>
      <c r="E297" s="154">
        <v>3271.12</v>
      </c>
      <c r="F297" s="112">
        <f t="shared" si="523"/>
        <v>1.7256338571290719E-2</v>
      </c>
      <c r="G297" s="35"/>
      <c r="H297" s="149">
        <v>47.24</v>
      </c>
      <c r="I297" s="112">
        <f t="shared" si="523"/>
        <v>-2.5778511033202722E-2</v>
      </c>
      <c r="J297" s="35"/>
      <c r="K297" s="149">
        <v>137.66</v>
      </c>
      <c r="L297" s="143">
        <f t="shared" ref="L297" si="528">K297/K298-1</f>
        <v>1.175951785976781E-2</v>
      </c>
      <c r="M297" s="35"/>
      <c r="N297" s="149">
        <v>39.24</v>
      </c>
      <c r="O297" s="143">
        <f t="shared" si="521"/>
        <v>4.8076923076923128E-2</v>
      </c>
      <c r="P297" s="35"/>
      <c r="Q297" s="149">
        <v>30.59</v>
      </c>
      <c r="R297" s="143">
        <f>Q297/Q298-1</f>
        <v>8.2399472643375216E-3</v>
      </c>
    </row>
    <row r="298" spans="3:18" x14ac:dyDescent="0.3">
      <c r="C298" s="157" t="s">
        <v>334</v>
      </c>
      <c r="E298" s="155">
        <v>3215.63</v>
      </c>
      <c r="F298" s="131"/>
      <c r="H298" s="151">
        <v>48.49</v>
      </c>
      <c r="I298" s="131"/>
      <c r="K298" s="151">
        <v>136.06</v>
      </c>
      <c r="L298" s="133"/>
      <c r="N298" s="151">
        <v>37.44</v>
      </c>
      <c r="O298" s="133"/>
      <c r="Q298" s="151">
        <v>30.34</v>
      </c>
      <c r="R298" s="133"/>
    </row>
  </sheetData>
  <mergeCells count="6">
    <mergeCell ref="B2:G3"/>
    <mergeCell ref="N35:O35"/>
    <mergeCell ref="H35:I35"/>
    <mergeCell ref="Q35:R35"/>
    <mergeCell ref="K35:L35"/>
    <mergeCell ref="E35:F35"/>
  </mergeCells>
  <hyperlinks>
    <hyperlink ref="Q35" r:id="rId1" tooltip="Stock Keurig Dr Pepper Inc." display="https://www.marketscreener.com/quote/stock/KEURIG-DR-PEPPER-INC-44644712/" xr:uid="{1F9C420A-257E-4076-BC03-C0E3B5D3BFD6}"/>
    <hyperlink ref="K35" r:id="rId2" display="https://www.marketscreener.com/quote/stock/PEPSICO-INC-39085159/graphics/" xr:uid="{D177662D-AB5A-45A6-BED3-6AECDEC54E77}"/>
    <hyperlink ref="N35" r:id="rId3" display="https://www.marketscreener.com/quote/stock/MONSTER-BEVERAGE-CORPORAT-22497283/graphics/" xr:uid="{14B44FAF-991C-44F8-A4CA-5BA609FE2F7C}"/>
    <hyperlink ref="B22" r:id="rId4" display="https://www.marketscreener.com/quote/stock/PEPSICO-INC-39085159/graphics/" xr:uid="{F687BA24-F934-4B68-96F9-3346200D930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3953-281F-4143-B038-78F66EDCF704}">
  <sheetPr>
    <tabColor rgb="FF0000FF"/>
  </sheetPr>
  <dimension ref="A1"/>
  <sheetViews>
    <sheetView workbookViewId="0">
      <selection activeCell="K28" sqref="K28"/>
    </sheetView>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82DA7-8E03-4335-AC1F-948F576562CA}">
  <dimension ref="A1:O28"/>
  <sheetViews>
    <sheetView showGridLines="0" zoomScale="104" workbookViewId="0">
      <selection activeCell="B28" sqref="B28"/>
    </sheetView>
  </sheetViews>
  <sheetFormatPr defaultRowHeight="14.4" x14ac:dyDescent="0.3"/>
  <cols>
    <col min="1" max="1" width="1.88671875" customWidth="1"/>
    <col min="2" max="2" width="26.5546875" bestFit="1" customWidth="1"/>
    <col min="3" max="3" width="10.77734375" customWidth="1"/>
    <col min="4" max="4" width="12.6640625" bestFit="1" customWidth="1"/>
    <col min="5" max="7" width="10.77734375" customWidth="1"/>
    <col min="8" max="8" width="15.44140625" bestFit="1" customWidth="1"/>
    <col min="9" max="9" width="6.21875" bestFit="1" customWidth="1"/>
    <col min="10" max="14" width="10.77734375" customWidth="1"/>
  </cols>
  <sheetData>
    <row r="1" spans="1:8" ht="15" thickBot="1" x14ac:dyDescent="0.35"/>
    <row r="2" spans="1:8" ht="15" thickBot="1" x14ac:dyDescent="0.35">
      <c r="A2" t="s">
        <v>7</v>
      </c>
      <c r="B2" s="179" t="s">
        <v>0</v>
      </c>
      <c r="C2" s="179" t="s">
        <v>1</v>
      </c>
      <c r="D2" s="180" t="s">
        <v>3</v>
      </c>
      <c r="E2" s="180"/>
      <c r="F2" s="180"/>
      <c r="G2" s="180"/>
      <c r="H2" s="180"/>
    </row>
    <row r="3" spans="1:8" ht="15" thickBot="1" x14ac:dyDescent="0.35">
      <c r="B3" s="179"/>
      <c r="C3" s="179"/>
      <c r="D3" s="72">
        <v>2025</v>
      </c>
      <c r="E3" s="72">
        <f>D3+1</f>
        <v>2026</v>
      </c>
      <c r="F3" s="72">
        <f>E3+1</f>
        <v>2027</v>
      </c>
      <c r="G3" s="72">
        <f>F3+1</f>
        <v>2028</v>
      </c>
      <c r="H3" s="72">
        <f>G3+1</f>
        <v>2029</v>
      </c>
    </row>
    <row r="4" spans="1:8" x14ac:dyDescent="0.3">
      <c r="B4" s="42" t="s">
        <v>154</v>
      </c>
      <c r="C4" s="66"/>
      <c r="D4" s="124">
        <f>'P&amp;L'!H22</f>
        <v>15012.967467703351</v>
      </c>
      <c r="E4" s="124">
        <f>'P&amp;L'!I22</f>
        <v>16406.574416075044</v>
      </c>
      <c r="F4" s="124">
        <f>'P&amp;L'!J22</f>
        <v>17857.63256671097</v>
      </c>
      <c r="G4" s="124">
        <f>'P&amp;L'!K22</f>
        <v>19432.80529443621</v>
      </c>
      <c r="H4" s="124">
        <f>'P&amp;L'!L22</f>
        <v>21068.247037879919</v>
      </c>
    </row>
    <row r="5" spans="1:8" ht="16.2" x14ac:dyDescent="0.3">
      <c r="B5" s="42" t="s">
        <v>395</v>
      </c>
      <c r="C5" s="42"/>
      <c r="D5" s="84">
        <v>0.27</v>
      </c>
      <c r="E5" s="46">
        <f>D5</f>
        <v>0.27</v>
      </c>
      <c r="F5" s="46">
        <f t="shared" ref="F5:H5" si="0">E5</f>
        <v>0.27</v>
      </c>
      <c r="G5" s="46">
        <f t="shared" si="0"/>
        <v>0.27</v>
      </c>
      <c r="H5" s="46">
        <f t="shared" si="0"/>
        <v>0.27</v>
      </c>
    </row>
    <row r="6" spans="1:8" x14ac:dyDescent="0.3">
      <c r="B6" s="42" t="s">
        <v>155</v>
      </c>
      <c r="C6" s="42"/>
      <c r="D6" s="42">
        <f>D5*D4</f>
        <v>4053.5012162799048</v>
      </c>
      <c r="E6" s="42">
        <f t="shared" ref="E6:H6" si="1">E5*E4</f>
        <v>4429.7750923402618</v>
      </c>
      <c r="F6" s="42">
        <f t="shared" si="1"/>
        <v>4821.5607930119622</v>
      </c>
      <c r="G6" s="42">
        <f t="shared" si="1"/>
        <v>5246.857429497777</v>
      </c>
      <c r="H6" s="42">
        <f t="shared" si="1"/>
        <v>5688.4267002275783</v>
      </c>
    </row>
    <row r="7" spans="1:8" x14ac:dyDescent="0.3">
      <c r="B7" s="57" t="s">
        <v>156</v>
      </c>
      <c r="C7" s="57"/>
      <c r="D7" s="57">
        <f>D4-D6</f>
        <v>10959.466251423446</v>
      </c>
      <c r="E7" s="57">
        <f t="shared" ref="E7:H7" si="2">E4-E6</f>
        <v>11976.799323734782</v>
      </c>
      <c r="F7" s="57">
        <f t="shared" si="2"/>
        <v>13036.071773699008</v>
      </c>
      <c r="G7" s="57">
        <f t="shared" si="2"/>
        <v>14185.947864938433</v>
      </c>
      <c r="H7" s="57">
        <f t="shared" si="2"/>
        <v>15379.820337652342</v>
      </c>
    </row>
    <row r="8" spans="1:8" x14ac:dyDescent="0.3">
      <c r="B8" s="42" t="s">
        <v>157</v>
      </c>
      <c r="C8" s="42"/>
      <c r="D8" s="124">
        <f>CapEx!H19</f>
        <v>1130.8021251844632</v>
      </c>
      <c r="E8" s="124">
        <f>CapEx!I19</f>
        <v>1161.1628909935548</v>
      </c>
      <c r="F8" s="124">
        <f>CapEx!J19</f>
        <v>1203.3066491956779</v>
      </c>
      <c r="G8" s="124">
        <f>CapEx!K19</f>
        <v>1241.404369575522</v>
      </c>
      <c r="H8" s="124">
        <f>CapEx!L19</f>
        <v>1287.1522413500359</v>
      </c>
    </row>
    <row r="9" spans="1:8" x14ac:dyDescent="0.3">
      <c r="B9" s="42" t="s">
        <v>158</v>
      </c>
      <c r="C9" s="42"/>
      <c r="D9" s="42">
        <f ca="1">SUM(CFS!D17:D21)</f>
        <v>-2949.7270651970148</v>
      </c>
      <c r="E9" s="42">
        <f ca="1">SUM(CFS!E17:E21)</f>
        <v>969.12126065719553</v>
      </c>
      <c r="F9" s="42">
        <f ca="1">SUM(CFS!F17:F21)</f>
        <v>1042.1068737265859</v>
      </c>
      <c r="G9" s="42">
        <f ca="1">SUM(CFS!G17:G21)</f>
        <v>1134.7922730340383</v>
      </c>
      <c r="H9" s="42">
        <f ca="1">SUM(CFS!H17:H21)</f>
        <v>1197.1288207125199</v>
      </c>
    </row>
    <row r="10" spans="1:8" x14ac:dyDescent="0.3">
      <c r="B10" s="42" t="s">
        <v>159</v>
      </c>
      <c r="C10" s="42"/>
      <c r="D10" s="124">
        <f>CapEx!H7</f>
        <v>832.49001194718585</v>
      </c>
      <c r="E10" s="124">
        <f>CapEx!I7</f>
        <v>814.54186692687654</v>
      </c>
      <c r="F10" s="124">
        <f>CapEx!J7</f>
        <v>810.36909578024279</v>
      </c>
      <c r="G10" s="124">
        <f>CapEx!K7</f>
        <v>886.39859318153322</v>
      </c>
      <c r="H10" s="124">
        <f>CapEx!L7</f>
        <v>879.67146418175253</v>
      </c>
    </row>
    <row r="11" spans="1:8" x14ac:dyDescent="0.3">
      <c r="B11" s="57" t="s">
        <v>160</v>
      </c>
      <c r="C11" s="57"/>
      <c r="D11" s="57">
        <f ca="1">D7+D8+D9-D10</f>
        <v>8308.0512994637102</v>
      </c>
      <c r="E11" s="57">
        <f t="shared" ref="E11:H11" ca="1" si="3">E7+E8+E9-E10</f>
        <v>13292.541608458656</v>
      </c>
      <c r="F11" s="57">
        <f t="shared" ca="1" si="3"/>
        <v>14471.116200841028</v>
      </c>
      <c r="G11" s="57">
        <f t="shared" ca="1" si="3"/>
        <v>15675.74591436646</v>
      </c>
      <c r="H11" s="57">
        <f t="shared" ca="1" si="3"/>
        <v>16984.429935533146</v>
      </c>
    </row>
    <row r="12" spans="1:8" x14ac:dyDescent="0.3">
      <c r="E12" s="83"/>
      <c r="F12" s="83"/>
      <c r="G12" s="83"/>
      <c r="H12" s="83"/>
    </row>
    <row r="13" spans="1:8" x14ac:dyDescent="0.3">
      <c r="B13" t="s">
        <v>161</v>
      </c>
      <c r="H13" s="42">
        <f ca="1">(H11*(1+D17))/($D$18-$D$17)</f>
        <v>497876.45718995912</v>
      </c>
    </row>
    <row r="14" spans="1:8" x14ac:dyDescent="0.3">
      <c r="B14" s="11" t="s">
        <v>162</v>
      </c>
      <c r="C14" s="11"/>
      <c r="D14" s="57">
        <f ca="1">D11</f>
        <v>8308.0512994637102</v>
      </c>
      <c r="E14" s="57">
        <f t="shared" ref="E14:G14" ca="1" si="4">E11</f>
        <v>13292.541608458656</v>
      </c>
      <c r="F14" s="57">
        <f t="shared" ca="1" si="4"/>
        <v>14471.116200841028</v>
      </c>
      <c r="G14" s="57">
        <f t="shared" ca="1" si="4"/>
        <v>15675.74591436646</v>
      </c>
      <c r="H14" s="57">
        <f ca="1">H11+H13</f>
        <v>514860.88712549227</v>
      </c>
    </row>
    <row r="15" spans="1:8" x14ac:dyDescent="0.3">
      <c r="B15" t="s">
        <v>365</v>
      </c>
      <c r="D15" s="20">
        <v>0.5</v>
      </c>
      <c r="E15">
        <f>D15+1</f>
        <v>1.5</v>
      </c>
      <c r="F15">
        <f t="shared" ref="F15:H15" si="5">E15+1</f>
        <v>2.5</v>
      </c>
      <c r="G15">
        <f t="shared" si="5"/>
        <v>3.5</v>
      </c>
      <c r="H15">
        <f t="shared" si="5"/>
        <v>4.5</v>
      </c>
    </row>
    <row r="16" spans="1:8" x14ac:dyDescent="0.3">
      <c r="B16" t="s">
        <v>163</v>
      </c>
      <c r="D16" s="42">
        <f ca="1">D14/((1+$D$18)^D15)</f>
        <v>8057.8366138631282</v>
      </c>
      <c r="E16" s="42">
        <f ca="1">E14/((1+$D$18)^E15)</f>
        <v>12127.34942915025</v>
      </c>
      <c r="F16" s="42">
        <f ca="1">F14/((1+$D$18)^F15)</f>
        <v>12419.338629240405</v>
      </c>
      <c r="G16" s="42">
        <f ca="1">G14/((1+$D$18)^G15)</f>
        <v>12655.031445411601</v>
      </c>
      <c r="H16" s="42">
        <f ca="1">H14/((1+$D$18)^H15)</f>
        <v>390988.05453931476</v>
      </c>
    </row>
    <row r="17" spans="2:15" x14ac:dyDescent="0.3">
      <c r="B17" t="s">
        <v>366</v>
      </c>
      <c r="D17" s="84">
        <v>2.8000000000000001E-2</v>
      </c>
    </row>
    <row r="18" spans="2:15" x14ac:dyDescent="0.3">
      <c r="B18" t="s">
        <v>363</v>
      </c>
      <c r="D18" s="35">
        <f>'Cost of Equity'!C14*('Cost of Equity'!D19/'Cost of Equity'!F19)+'Cost of Debt'!C8*('Cost of Equity'!E19/'Cost of Equity'!F19)</f>
        <v>6.3068928690207998E-2</v>
      </c>
      <c r="H18" s="182" t="s">
        <v>363</v>
      </c>
      <c r="I18" s="182"/>
      <c r="J18" s="182"/>
      <c r="K18" s="182"/>
      <c r="L18" s="182"/>
      <c r="M18" s="182"/>
      <c r="N18" s="182"/>
    </row>
    <row r="19" spans="2:15" x14ac:dyDescent="0.3">
      <c r="B19" t="s">
        <v>362</v>
      </c>
      <c r="D19" s="42">
        <f ca="1">SUM(D16:H16)</f>
        <v>436247.61065698013</v>
      </c>
      <c r="H19" s="181" t="s">
        <v>366</v>
      </c>
      <c r="I19" s="2">
        <f ca="1">D25</f>
        <v>98.26426172615281</v>
      </c>
      <c r="J19" s="119">
        <v>4.2999999999999997E-2</v>
      </c>
      <c r="K19" s="119">
        <v>5.2999999999999999E-2</v>
      </c>
      <c r="L19" s="120">
        <v>6.3070000000000001E-2</v>
      </c>
      <c r="M19" s="119">
        <v>7.2999999999999995E-2</v>
      </c>
      <c r="N19" s="119">
        <v>8.3000000000000004E-2</v>
      </c>
      <c r="O19" s="29"/>
    </row>
    <row r="20" spans="2:15" x14ac:dyDescent="0.3">
      <c r="B20" t="s">
        <v>367</v>
      </c>
      <c r="D20" s="42">
        <f>SUM('Balance Sheet'!G25:G26,'Balance Sheet'!G29)</f>
        <v>44522</v>
      </c>
      <c r="H20" s="181"/>
      <c r="I20" s="119">
        <v>8.0000000000000002E-3</v>
      </c>
      <c r="J20" s="42">
        <f t="dataTable" ref="J20:N24" dt2D="1" dtr="1" r1="D18" r2="D17" ca="1"/>
        <v>105.13964868957368</v>
      </c>
      <c r="K20" s="42">
        <v>80.896930516468657</v>
      </c>
      <c r="L20" s="121">
        <v>65.392656661608171</v>
      </c>
      <c r="M20" s="42">
        <v>54.817023763598094</v>
      </c>
      <c r="N20" s="42">
        <v>47.004316713806631</v>
      </c>
    </row>
    <row r="21" spans="2:15" x14ac:dyDescent="0.3">
      <c r="B21" t="s">
        <v>368</v>
      </c>
      <c r="D21" s="42">
        <f>SUM('Balance Sheet'!G6:G7)</f>
        <v>12848</v>
      </c>
      <c r="H21" s="181"/>
      <c r="I21" s="119">
        <v>1.7999999999999999E-2</v>
      </c>
      <c r="J21" s="42">
        <v>143.91574590056027</v>
      </c>
      <c r="K21" s="42">
        <v>101.7316362405419</v>
      </c>
      <c r="L21" s="121">
        <v>78.180522603552731</v>
      </c>
      <c r="M21" s="42">
        <v>63.410960552385866</v>
      </c>
      <c r="N21" s="42">
        <v>53.10520411652012</v>
      </c>
    </row>
    <row r="22" spans="2:15" x14ac:dyDescent="0.3">
      <c r="B22" t="s">
        <v>369</v>
      </c>
      <c r="D22" s="42">
        <f>SUM('Balance Sheet'!G9,'Balance Sheet'!G14,'Balance Sheet'!G41)</f>
        <v>19928</v>
      </c>
      <c r="H22" s="181"/>
      <c r="I22" s="120">
        <v>2.8000000000000001E-2</v>
      </c>
      <c r="J22" s="121">
        <v>234.39330605952892</v>
      </c>
      <c r="K22" s="121">
        <v>139.23410654387376</v>
      </c>
      <c r="L22" s="172">
        <v>98.261154979454787</v>
      </c>
      <c r="M22" s="121">
        <v>75.824424802857081</v>
      </c>
      <c r="N22" s="121">
        <v>61.424596029311218</v>
      </c>
    </row>
    <row r="23" spans="2:15" x14ac:dyDescent="0.3">
      <c r="B23" s="122" t="s">
        <v>364</v>
      </c>
      <c r="C23" s="122"/>
      <c r="D23" s="123">
        <f ca="1">D19-D20+D21+D22</f>
        <v>424501.61065698013</v>
      </c>
      <c r="H23" s="181"/>
      <c r="I23" s="119">
        <v>3.7999999999999999E-2</v>
      </c>
      <c r="J23" s="42">
        <v>686.78110685437252</v>
      </c>
      <c r="K23" s="42">
        <v>226.73987058498133</v>
      </c>
      <c r="L23" s="121">
        <v>134.36143823361937</v>
      </c>
      <c r="M23" s="42">
        <v>95.331297196454727</v>
      </c>
      <c r="N23" s="42">
        <v>73.441495458898373</v>
      </c>
    </row>
    <row r="24" spans="2:15" x14ac:dyDescent="0.3">
      <c r="B24" s="122" t="s">
        <v>370</v>
      </c>
      <c r="C24" s="122"/>
      <c r="D24" s="125">
        <f>'P&amp;L'!G49</f>
        <v>4320</v>
      </c>
      <c r="H24" s="181"/>
      <c r="I24" s="119">
        <v>0.04</v>
      </c>
      <c r="J24" s="42">
        <v>1139.1689076492173</v>
      </c>
      <c r="K24" s="42">
        <v>260.39593367771511</v>
      </c>
      <c r="L24" s="121">
        <v>145.33705100972301</v>
      </c>
      <c r="M24" s="42">
        <v>100.65135330379951</v>
      </c>
      <c r="N24" s="42">
        <v>76.515586010653237</v>
      </c>
    </row>
    <row r="25" spans="2:15" x14ac:dyDescent="0.3">
      <c r="B25" s="122" t="s">
        <v>371</v>
      </c>
      <c r="C25" s="122"/>
      <c r="D25" s="123">
        <f ca="1">D23/D24</f>
        <v>98.26426172615281</v>
      </c>
    </row>
    <row r="27" spans="2:15" x14ac:dyDescent="0.3">
      <c r="B27" s="176" t="s">
        <v>380</v>
      </c>
    </row>
    <row r="28" spans="2:15" x14ac:dyDescent="0.3">
      <c r="B28" s="59" t="s">
        <v>396</v>
      </c>
    </row>
  </sheetData>
  <mergeCells count="5">
    <mergeCell ref="B2:B3"/>
    <mergeCell ref="C2:C3"/>
    <mergeCell ref="D2:H2"/>
    <mergeCell ref="H19:H24"/>
    <mergeCell ref="H18:N18"/>
  </mergeCells>
  <pageMargins left="0.7" right="0.7" top="0.75" bottom="0.75" header="0.3" footer="0.3"/>
  <pageSetup paperSize="9" orientation="portrait" r:id="rId1"/>
  <ignoredErrors>
    <ignoredError sqref="D20"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Financials&gt;</vt:lpstr>
      <vt:lpstr>Revenue</vt:lpstr>
      <vt:lpstr>P&amp;L</vt:lpstr>
      <vt:lpstr>Balance Sheet</vt:lpstr>
      <vt:lpstr>CFS</vt:lpstr>
      <vt:lpstr>Supporting Schedules&gt;</vt:lpstr>
      <vt:lpstr>CapEx</vt:lpstr>
      <vt:lpstr>Debt</vt:lpstr>
      <vt:lpstr>Cost of Capital&gt;</vt:lpstr>
      <vt:lpstr>Cost of Debt</vt:lpstr>
      <vt:lpstr>Cost of Equity</vt:lpstr>
      <vt:lpstr>DCF&gt;</vt:lpstr>
      <vt:lpstr>Valuation</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James</dc:creator>
  <cp:lastModifiedBy>Akhil James</cp:lastModifiedBy>
  <cp:lastPrinted>2025-07-21T08:58:45Z</cp:lastPrinted>
  <dcterms:created xsi:type="dcterms:W3CDTF">2025-07-01T11:46:03Z</dcterms:created>
  <dcterms:modified xsi:type="dcterms:W3CDTF">2026-05-07T05:27:26Z</dcterms:modified>
</cp:coreProperties>
</file>